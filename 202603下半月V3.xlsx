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en22\OneDrive\桌面\"/>
    </mc:Choice>
  </mc:AlternateContent>
  <xr:revisionPtr revIDLastSave="0" documentId="13_ncr:1_{4CC81BC2-3276-43A3-B800-98672E7702A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zWENV+qCCQ6P9Ph011oX0zwXfj6pJPirTsnZTUw8RI="/>
    </ext>
  </extLst>
</workbook>
</file>

<file path=xl/calcChain.xml><?xml version="1.0" encoding="utf-8"?>
<calcChain xmlns="http://schemas.openxmlformats.org/spreadsheetml/2006/main">
  <c r="R71" i="1" l="1"/>
  <c r="G71" i="1"/>
  <c r="R70" i="1"/>
  <c r="K70" i="1"/>
  <c r="R69" i="1"/>
  <c r="R68" i="1"/>
  <c r="R67" i="1"/>
  <c r="K67" i="1"/>
  <c r="R66" i="1"/>
  <c r="E66" i="1"/>
  <c r="D66" i="1"/>
  <c r="C66" i="1"/>
  <c r="R65" i="1"/>
  <c r="K65" i="1"/>
  <c r="G65" i="1"/>
  <c r="R64" i="1"/>
  <c r="K64" i="1"/>
  <c r="R63" i="1"/>
  <c r="R62" i="1"/>
  <c r="K62" i="1"/>
  <c r="R61" i="1"/>
  <c r="K61" i="1"/>
  <c r="R60" i="1"/>
  <c r="O60" i="1"/>
  <c r="I60" i="1"/>
  <c r="G60" i="1"/>
  <c r="F60" i="1"/>
  <c r="C60" i="1"/>
  <c r="R59" i="1"/>
  <c r="R58" i="1"/>
  <c r="O58" i="1"/>
  <c r="N58" i="1"/>
  <c r="M58" i="1"/>
  <c r="C58" i="1"/>
  <c r="R57" i="1"/>
  <c r="O57" i="1"/>
  <c r="I57" i="1"/>
  <c r="G57" i="1"/>
  <c r="F57" i="1"/>
  <c r="C57" i="1"/>
  <c r="R56" i="1"/>
  <c r="R55" i="1"/>
  <c r="O55" i="1"/>
  <c r="N55" i="1"/>
  <c r="M55" i="1"/>
  <c r="C55" i="1"/>
  <c r="R54" i="1"/>
  <c r="O54" i="1"/>
  <c r="I54" i="1"/>
  <c r="G54" i="1"/>
  <c r="F54" i="1"/>
  <c r="C54" i="1"/>
  <c r="R53" i="1"/>
  <c r="R52" i="1"/>
  <c r="O52" i="1"/>
  <c r="N52" i="1"/>
  <c r="M52" i="1"/>
  <c r="C52" i="1"/>
  <c r="R51" i="1"/>
  <c r="O51" i="1"/>
  <c r="I51" i="1"/>
  <c r="G51" i="1"/>
  <c r="F51" i="1"/>
  <c r="C51" i="1"/>
  <c r="R50" i="1"/>
  <c r="X40" i="1"/>
  <c r="V40" i="1"/>
  <c r="M40" i="1"/>
  <c r="L40" i="1"/>
  <c r="K40" i="1"/>
  <c r="J40" i="1"/>
  <c r="I40" i="1"/>
  <c r="H40" i="1"/>
  <c r="X39" i="1"/>
  <c r="V39" i="1"/>
  <c r="M39" i="1"/>
  <c r="L39" i="1"/>
  <c r="K39" i="1"/>
  <c r="J39" i="1"/>
  <c r="I39" i="1"/>
  <c r="H39" i="1"/>
  <c r="X38" i="1"/>
  <c r="V38" i="1"/>
  <c r="M38" i="1"/>
  <c r="L38" i="1"/>
  <c r="K38" i="1"/>
  <c r="J38" i="1"/>
  <c r="I38" i="1"/>
  <c r="H38" i="1"/>
  <c r="X37" i="1"/>
  <c r="V37" i="1"/>
  <c r="M37" i="1"/>
  <c r="L37" i="1"/>
  <c r="K37" i="1"/>
  <c r="J37" i="1"/>
  <c r="I37" i="1"/>
  <c r="H37" i="1"/>
  <c r="X36" i="1"/>
  <c r="V36" i="1"/>
  <c r="M36" i="1"/>
  <c r="L36" i="1"/>
  <c r="K36" i="1"/>
  <c r="J36" i="1"/>
  <c r="I36" i="1"/>
  <c r="H36" i="1"/>
  <c r="X35" i="1"/>
  <c r="V35" i="1"/>
  <c r="M35" i="1"/>
  <c r="L35" i="1"/>
  <c r="K35" i="1"/>
  <c r="J35" i="1"/>
  <c r="I35" i="1"/>
  <c r="H35" i="1"/>
  <c r="X34" i="1"/>
  <c r="V34" i="1"/>
  <c r="M34" i="1"/>
  <c r="L34" i="1"/>
  <c r="K34" i="1"/>
  <c r="J34" i="1"/>
  <c r="I34" i="1"/>
  <c r="H34" i="1"/>
  <c r="X33" i="1"/>
  <c r="V33" i="1"/>
  <c r="M33" i="1"/>
  <c r="L33" i="1"/>
  <c r="K33" i="1"/>
  <c r="J33" i="1"/>
  <c r="I33" i="1"/>
  <c r="H33" i="1"/>
  <c r="R27" i="1"/>
  <c r="Q27" i="1"/>
  <c r="P27" i="1"/>
  <c r="P71" i="1" s="1"/>
  <c r="O27" i="1"/>
  <c r="O71" i="1" s="1"/>
  <c r="N27" i="1"/>
  <c r="M27" i="1"/>
  <c r="M71" i="1" s="1"/>
  <c r="L27" i="1"/>
  <c r="L71" i="1" s="1"/>
  <c r="K27" i="1"/>
  <c r="K68" i="1" s="1"/>
  <c r="J27" i="1"/>
  <c r="J71" i="1" s="1"/>
  <c r="I27" i="1"/>
  <c r="I71" i="1" s="1"/>
  <c r="H27" i="1"/>
  <c r="H71" i="1" s="1"/>
  <c r="G27" i="1"/>
  <c r="F27" i="1"/>
  <c r="F71" i="1" s="1"/>
  <c r="E27" i="1"/>
  <c r="D27" i="1"/>
  <c r="D71" i="1" s="1"/>
  <c r="C27" i="1"/>
  <c r="C71" i="1" s="1"/>
  <c r="R15" i="1"/>
  <c r="Q15" i="1"/>
  <c r="Q68" i="1" s="1"/>
  <c r="P15" i="1"/>
  <c r="P68" i="1" s="1"/>
  <c r="O15" i="1"/>
  <c r="O68" i="1" s="1"/>
  <c r="N15" i="1"/>
  <c r="N69" i="1" s="1"/>
  <c r="M15" i="1"/>
  <c r="M69" i="1" s="1"/>
  <c r="L15" i="1"/>
  <c r="L69" i="1" s="1"/>
  <c r="K15" i="1"/>
  <c r="K69" i="1" s="1"/>
  <c r="J15" i="1"/>
  <c r="I15" i="1"/>
  <c r="H15" i="1"/>
  <c r="G15" i="1"/>
  <c r="G70" i="1" s="1"/>
  <c r="F15" i="1"/>
  <c r="F68" i="1" s="1"/>
  <c r="E15" i="1"/>
  <c r="E68" i="1" s="1"/>
  <c r="D15" i="1"/>
  <c r="C15" i="1"/>
  <c r="R4" i="1"/>
  <c r="Q4" i="1"/>
  <c r="Q59" i="1" s="1"/>
  <c r="P4" i="1"/>
  <c r="P59" i="1" s="1"/>
  <c r="O4" i="1"/>
  <c r="O59" i="1" s="1"/>
  <c r="N4" i="1"/>
  <c r="N60" i="1" s="1"/>
  <c r="M4" i="1"/>
  <c r="M53" i="1" s="1"/>
  <c r="L4" i="1"/>
  <c r="L60" i="1" s="1"/>
  <c r="K4" i="1"/>
  <c r="K60" i="1" s="1"/>
  <c r="J4" i="1"/>
  <c r="J58" i="1" s="1"/>
  <c r="I4" i="1"/>
  <c r="I58" i="1" s="1"/>
  <c r="H4" i="1"/>
  <c r="H58" i="1" s="1"/>
  <c r="G4" i="1"/>
  <c r="G58" i="1" s="1"/>
  <c r="F4" i="1"/>
  <c r="F59" i="1" s="1"/>
  <c r="E4" i="1"/>
  <c r="E59" i="1" s="1"/>
  <c r="D4" i="1"/>
  <c r="N33" i="1" s="1"/>
  <c r="C4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H68" i="1" l="1"/>
  <c r="J62" i="1"/>
  <c r="J68" i="1"/>
  <c r="O36" i="1"/>
  <c r="Q52" i="1"/>
  <c r="Q55" i="1"/>
  <c r="M64" i="1"/>
  <c r="M70" i="1"/>
  <c r="F50" i="1"/>
  <c r="P57" i="1"/>
  <c r="M62" i="1"/>
  <c r="P66" i="1"/>
  <c r="G59" i="1"/>
  <c r="H62" i="1"/>
  <c r="O66" i="1"/>
  <c r="G50" i="1"/>
  <c r="G53" i="1"/>
  <c r="G56" i="1"/>
  <c r="Q57" i="1"/>
  <c r="Q60" i="1"/>
  <c r="Q66" i="1"/>
  <c r="N64" i="1"/>
  <c r="H53" i="1"/>
  <c r="H56" i="1"/>
  <c r="C63" i="1"/>
  <c r="C69" i="1"/>
  <c r="E52" i="1"/>
  <c r="E58" i="1"/>
  <c r="J65" i="1"/>
  <c r="E69" i="1"/>
  <c r="E64" i="1"/>
  <c r="F55" i="1"/>
  <c r="O63" i="1"/>
  <c r="M67" i="1"/>
  <c r="K71" i="1"/>
  <c r="J70" i="1"/>
  <c r="D51" i="1"/>
  <c r="K52" i="1"/>
  <c r="D54" i="1"/>
  <c r="K55" i="1"/>
  <c r="D57" i="1"/>
  <c r="K58" i="1"/>
  <c r="D60" i="1"/>
  <c r="P63" i="1"/>
  <c r="M65" i="1"/>
  <c r="P69" i="1"/>
  <c r="I62" i="1"/>
  <c r="I68" i="1"/>
  <c r="L64" i="1"/>
  <c r="L70" i="1"/>
  <c r="Q58" i="1"/>
  <c r="O34" i="1"/>
  <c r="P51" i="1"/>
  <c r="P54" i="1"/>
  <c r="P60" i="1"/>
  <c r="M68" i="1"/>
  <c r="O33" i="1"/>
  <c r="P33" i="1" s="1"/>
  <c r="Q51" i="1"/>
  <c r="Q54" i="1"/>
  <c r="H50" i="1"/>
  <c r="H59" i="1"/>
  <c r="H65" i="1"/>
  <c r="I50" i="1"/>
  <c r="I53" i="1"/>
  <c r="I56" i="1"/>
  <c r="I59" i="1"/>
  <c r="D63" i="1"/>
  <c r="I65" i="1"/>
  <c r="D69" i="1"/>
  <c r="H70" i="1"/>
  <c r="E55" i="1"/>
  <c r="L61" i="1"/>
  <c r="E63" i="1"/>
  <c r="L67" i="1"/>
  <c r="I70" i="1"/>
  <c r="Q70" i="1"/>
  <c r="F52" i="1"/>
  <c r="F58" i="1"/>
  <c r="M61" i="1"/>
  <c r="O69" i="1"/>
  <c r="N35" i="1"/>
  <c r="E51" i="1"/>
  <c r="L52" i="1"/>
  <c r="E54" i="1"/>
  <c r="L55" i="1"/>
  <c r="E57" i="1"/>
  <c r="L58" i="1"/>
  <c r="E60" i="1"/>
  <c r="G62" i="1"/>
  <c r="Q63" i="1"/>
  <c r="G68" i="1"/>
  <c r="Q69" i="1"/>
  <c r="J56" i="1"/>
  <c r="J59" i="1"/>
  <c r="F63" i="1"/>
  <c r="N67" i="1"/>
  <c r="N40" i="1"/>
  <c r="K50" i="1"/>
  <c r="K53" i="1"/>
  <c r="K56" i="1"/>
  <c r="K59" i="1"/>
  <c r="C61" i="1"/>
  <c r="O61" i="1"/>
  <c r="G63" i="1"/>
  <c r="C64" i="1"/>
  <c r="O64" i="1"/>
  <c r="G66" i="1"/>
  <c r="C67" i="1"/>
  <c r="O67" i="1"/>
  <c r="G69" i="1"/>
  <c r="C70" i="1"/>
  <c r="O70" i="1"/>
  <c r="N39" i="1"/>
  <c r="O40" i="1"/>
  <c r="L50" i="1"/>
  <c r="H51" i="1"/>
  <c r="D52" i="1"/>
  <c r="P52" i="1"/>
  <c r="L53" i="1"/>
  <c r="H54" i="1"/>
  <c r="D55" i="1"/>
  <c r="P55" i="1"/>
  <c r="L56" i="1"/>
  <c r="H57" i="1"/>
  <c r="D58" i="1"/>
  <c r="P58" i="1"/>
  <c r="L59" i="1"/>
  <c r="H60" i="1"/>
  <c r="D61" i="1"/>
  <c r="P61" i="1"/>
  <c r="L62" i="1"/>
  <c r="H63" i="1"/>
  <c r="D64" i="1"/>
  <c r="P64" i="1"/>
  <c r="L65" i="1"/>
  <c r="H66" i="1"/>
  <c r="D67" i="1"/>
  <c r="P67" i="1"/>
  <c r="L68" i="1"/>
  <c r="H69" i="1"/>
  <c r="D70" i="1"/>
  <c r="P70" i="1"/>
  <c r="J50" i="1"/>
  <c r="J53" i="1"/>
  <c r="N61" i="1"/>
  <c r="N70" i="1"/>
  <c r="N38" i="1"/>
  <c r="M56" i="1"/>
  <c r="M59" i="1"/>
  <c r="Q61" i="1"/>
  <c r="Q64" i="1"/>
  <c r="E67" i="1"/>
  <c r="N37" i="1"/>
  <c r="N50" i="1"/>
  <c r="J51" i="1"/>
  <c r="N53" i="1"/>
  <c r="J54" i="1"/>
  <c r="N56" i="1"/>
  <c r="J57" i="1"/>
  <c r="N59" i="1"/>
  <c r="J60" i="1"/>
  <c r="N62" i="1"/>
  <c r="F64" i="1"/>
  <c r="N65" i="1"/>
  <c r="J66" i="1"/>
  <c r="F67" i="1"/>
  <c r="N68" i="1"/>
  <c r="F70" i="1"/>
  <c r="N71" i="1"/>
  <c r="N36" i="1"/>
  <c r="P36" i="1" s="1"/>
  <c r="O37" i="1"/>
  <c r="C50" i="1"/>
  <c r="O50" i="1"/>
  <c r="K51" i="1"/>
  <c r="G52" i="1"/>
  <c r="C53" i="1"/>
  <c r="O53" i="1"/>
  <c r="K54" i="1"/>
  <c r="G55" i="1"/>
  <c r="C56" i="1"/>
  <c r="O56" i="1"/>
  <c r="K57" i="1"/>
  <c r="C59" i="1"/>
  <c r="G61" i="1"/>
  <c r="C62" i="1"/>
  <c r="O62" i="1"/>
  <c r="K63" i="1"/>
  <c r="G64" i="1"/>
  <c r="C65" i="1"/>
  <c r="O65" i="1"/>
  <c r="K66" i="1"/>
  <c r="G67" i="1"/>
  <c r="C68" i="1"/>
  <c r="O39" i="1"/>
  <c r="M50" i="1"/>
  <c r="I63" i="1"/>
  <c r="I69" i="1"/>
  <c r="O38" i="1"/>
  <c r="F61" i="1"/>
  <c r="J63" i="1"/>
  <c r="J69" i="1"/>
  <c r="D50" i="1"/>
  <c r="P50" i="1"/>
  <c r="L51" i="1"/>
  <c r="H52" i="1"/>
  <c r="D53" i="1"/>
  <c r="P53" i="1"/>
  <c r="L54" i="1"/>
  <c r="H55" i="1"/>
  <c r="D56" i="1"/>
  <c r="P56" i="1"/>
  <c r="L57" i="1"/>
  <c r="D59" i="1"/>
  <c r="H61" i="1"/>
  <c r="D62" i="1"/>
  <c r="P62" i="1"/>
  <c r="L63" i="1"/>
  <c r="H64" i="1"/>
  <c r="D65" i="1"/>
  <c r="P65" i="1"/>
  <c r="L66" i="1"/>
  <c r="H67" i="1"/>
  <c r="D68" i="1"/>
  <c r="F69" i="1"/>
  <c r="I66" i="1"/>
  <c r="E70" i="1"/>
  <c r="N34" i="1"/>
  <c r="P34" i="1" s="1"/>
  <c r="O35" i="1"/>
  <c r="E50" i="1"/>
  <c r="Q50" i="1"/>
  <c r="M51" i="1"/>
  <c r="I52" i="1"/>
  <c r="E53" i="1"/>
  <c r="Q53" i="1"/>
  <c r="M54" i="1"/>
  <c r="I55" i="1"/>
  <c r="E56" i="1"/>
  <c r="Q56" i="1"/>
  <c r="M57" i="1"/>
  <c r="M60" i="1"/>
  <c r="I61" i="1"/>
  <c r="E62" i="1"/>
  <c r="Q62" i="1"/>
  <c r="M63" i="1"/>
  <c r="I64" i="1"/>
  <c r="E65" i="1"/>
  <c r="Q65" i="1"/>
  <c r="M66" i="1"/>
  <c r="I67" i="1"/>
  <c r="E71" i="1"/>
  <c r="Q71" i="1"/>
  <c r="F66" i="1"/>
  <c r="E61" i="1"/>
  <c r="Q67" i="1"/>
  <c r="N51" i="1"/>
  <c r="J52" i="1"/>
  <c r="F53" i="1"/>
  <c r="N54" i="1"/>
  <c r="J55" i="1"/>
  <c r="F56" i="1"/>
  <c r="N57" i="1"/>
  <c r="J61" i="1"/>
  <c r="F62" i="1"/>
  <c r="N63" i="1"/>
  <c r="J64" i="1"/>
  <c r="F65" i="1"/>
  <c r="N66" i="1"/>
  <c r="J67" i="1"/>
  <c r="P39" i="1" l="1"/>
  <c r="P40" i="1"/>
  <c r="P38" i="1"/>
  <c r="P37" i="1"/>
  <c r="P35" i="1"/>
</calcChain>
</file>

<file path=xl/sharedStrings.xml><?xml version="1.0" encoding="utf-8"?>
<sst xmlns="http://schemas.openxmlformats.org/spreadsheetml/2006/main" count="170" uniqueCount="94">
  <si>
    <t>台北市立萬芳醫院家醫科 115年03月下半月工作分配表</t>
  </si>
  <si>
    <t>上午</t>
  </si>
  <si>
    <t>日期</t>
  </si>
  <si>
    <t>星期</t>
  </si>
  <si>
    <t>OPD</t>
  </si>
  <si>
    <t>13F理學(8:30)</t>
  </si>
  <si>
    <t>13F理學+總評-1/2線</t>
  </si>
  <si>
    <t>X</t>
  </si>
  <si>
    <t>蓁</t>
  </si>
  <si>
    <t>瑜</t>
  </si>
  <si>
    <t>茜</t>
  </si>
  <si>
    <t>中</t>
  </si>
  <si>
    <t>宇</t>
  </si>
  <si>
    <t>2F理學+13樓1200</t>
  </si>
  <si>
    <t>其他</t>
  </si>
  <si>
    <t>兒:中</t>
  </si>
  <si>
    <t>兒:宇</t>
  </si>
  <si>
    <t>石碇:瑜</t>
  </si>
  <si>
    <t>深坑:中</t>
  </si>
  <si>
    <t>13F ECHO</t>
  </si>
  <si>
    <t>外訓跟診(不計)/預班</t>
  </si>
  <si>
    <t>下午</t>
  </si>
  <si>
    <t>2F/13F理學</t>
  </si>
  <si>
    <t>兒:瑜</t>
  </si>
  <si>
    <t>晚上</t>
  </si>
  <si>
    <t xml:space="preserve"> </t>
  </si>
  <si>
    <t>護理之家: 蓁</t>
  </si>
  <si>
    <t>(1)門診外訓:宇泌尿34上5下(賴),中老醫,蓁眼科3上4下(蔡)(2)病房外訓:善內科/岳兒科/彥內科(3)其他:石碇瑜/深坑中/佳鴻中</t>
  </si>
  <si>
    <t>週末班</t>
  </si>
  <si>
    <t>13F</t>
  </si>
  <si>
    <t>2F</t>
  </si>
  <si>
    <t>R總班數</t>
  </si>
  <si>
    <t>13F二線(上)</t>
  </si>
  <si>
    <t>2F理學(上)</t>
  </si>
  <si>
    <t>13F上</t>
  </si>
  <si>
    <t>2F理學(下)</t>
  </si>
  <si>
    <t>其他(上)</t>
  </si>
  <si>
    <t>其他(下)</t>
  </si>
  <si>
    <t>OPD(上)</t>
  </si>
  <si>
    <t>OPD(下)</t>
  </si>
  <si>
    <t>Total</t>
  </si>
  <si>
    <t>上半除門診</t>
  </si>
  <si>
    <t>上半門診</t>
  </si>
  <si>
    <t>下半除門診</t>
  </si>
  <si>
    <t>下半門診</t>
  </si>
  <si>
    <t>總</t>
  </si>
  <si>
    <t>扣掉門診總和</t>
  </si>
  <si>
    <t>善</t>
  </si>
  <si>
    <t>岳</t>
  </si>
  <si>
    <t>彥</t>
  </si>
  <si>
    <t>傅</t>
  </si>
  <si>
    <t>名字</t>
  </si>
  <si>
    <t>GSM</t>
  </si>
  <si>
    <t>員編</t>
  </si>
  <si>
    <t>VS援</t>
  </si>
  <si>
    <t>R不排</t>
  </si>
  <si>
    <t>PGY不排</t>
  </si>
  <si>
    <t>註</t>
  </si>
  <si>
    <t>檢查複數</t>
  </si>
  <si>
    <t>林</t>
  </si>
  <si>
    <t>王</t>
  </si>
  <si>
    <t>李</t>
  </si>
  <si>
    <t>高</t>
  </si>
  <si>
    <t>偉</t>
  </si>
  <si>
    <t>思</t>
  </si>
  <si>
    <t>兒篩:茜</t>
    <phoneticPr fontId="17" type="noConversion"/>
  </si>
  <si>
    <t>兒篩:蓁</t>
    <phoneticPr fontId="17" type="noConversion"/>
  </si>
  <si>
    <t>兒篩:中</t>
    <phoneticPr fontId="17" type="noConversion"/>
  </si>
  <si>
    <t>宇</t>
    <phoneticPr fontId="17" type="noConversion"/>
  </si>
  <si>
    <t>兒:蓁</t>
    <phoneticPr fontId="17" type="noConversion"/>
  </si>
  <si>
    <t>整篩(報告解說)</t>
    <phoneticPr fontId="17" type="noConversion"/>
  </si>
  <si>
    <t>兵役</t>
    <phoneticPr fontId="17" type="noConversion"/>
  </si>
  <si>
    <t>整:宇</t>
    <phoneticPr fontId="17" type="noConversion"/>
  </si>
  <si>
    <t>整:中</t>
    <phoneticPr fontId="17" type="noConversion"/>
  </si>
  <si>
    <t>蓁</t>
    <phoneticPr fontId="17" type="noConversion"/>
  </si>
  <si>
    <t>中</t>
    <phoneticPr fontId="17" type="noConversion"/>
  </si>
  <si>
    <r>
      <rPr>
        <sz val="11"/>
        <color theme="1"/>
        <rFont val="Microsoft JhengHei"/>
        <family val="2"/>
        <charset val="136"/>
      </rPr>
      <t>整篩</t>
    </r>
    <r>
      <rPr>
        <sz val="11"/>
        <color theme="1"/>
        <rFont val="Calibri"/>
        <family val="2"/>
      </rPr>
      <t>:3/8,3/22,</t>
    </r>
    <r>
      <rPr>
        <sz val="11"/>
        <color theme="1"/>
        <rFont val="Microsoft JhengHei"/>
        <family val="2"/>
      </rPr>
      <t>兵役</t>
    </r>
    <r>
      <rPr>
        <sz val="11"/>
        <color theme="1"/>
        <rFont val="Calibri"/>
        <family val="2"/>
      </rPr>
      <t>(X),</t>
    </r>
    <r>
      <rPr>
        <sz val="11"/>
        <color theme="1"/>
        <rFont val="Microsoft JhengHei"/>
        <family val="2"/>
        <charset val="136"/>
      </rPr>
      <t>兒篩,週六老健:3/14</t>
    </r>
    <phoneticPr fontId="17" type="noConversion"/>
  </si>
  <si>
    <t>瑜</t>
    <phoneticPr fontId="17" type="noConversion"/>
  </si>
  <si>
    <t>整:蓁</t>
    <phoneticPr fontId="17" type="noConversion"/>
  </si>
  <si>
    <t>宇4-9,蓁11-13,16,瑜13,20,31</t>
    <phoneticPr fontId="17" type="noConversion"/>
  </si>
  <si>
    <t>PGY林</t>
  </si>
  <si>
    <t>PGY陳</t>
  </si>
  <si>
    <t>2026/3/8(日)</t>
    <phoneticPr fontId="17" type="noConversion"/>
  </si>
  <si>
    <t>整:瑜,茜</t>
    <phoneticPr fontId="17" type="noConversion"/>
  </si>
  <si>
    <t>2026/3/14(六)</t>
    <phoneticPr fontId="17" type="noConversion"/>
  </si>
  <si>
    <t>PGY林</t>
    <phoneticPr fontId="17" type="noConversion"/>
  </si>
  <si>
    <t>子抹:瑜</t>
    <phoneticPr fontId="17" type="noConversion"/>
  </si>
  <si>
    <t>2026/3/21(六)</t>
    <phoneticPr fontId="17" type="noConversion"/>
  </si>
  <si>
    <t>2026/3/22(日)</t>
    <phoneticPr fontId="17" type="noConversion"/>
  </si>
  <si>
    <t>整:宇,蓁,中</t>
    <phoneticPr fontId="17" type="noConversion"/>
  </si>
  <si>
    <t>2026/3/28(六)</t>
    <phoneticPr fontId="17" type="noConversion"/>
  </si>
  <si>
    <t>Y1陳勇安</t>
    <phoneticPr fontId="17" type="noConversion"/>
  </si>
  <si>
    <t>Y1林宜徵</t>
    <phoneticPr fontId="17" type="noConversion"/>
  </si>
  <si>
    <t>茜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</si>
</sst>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1">
    <font>
      <sz val="11"/>
      <color theme="1"/>
      <name val="Calibri"/>
      <scheme val="minor"/>
    </font>
    <font>
      <sz val="12"/>
      <color theme="1"/>
      <name val="Microsoft JhengHei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Microsoft JhengHei"/>
      <family val="2"/>
      <charset val="136"/>
    </font>
    <font>
      <sz val="11"/>
      <color rgb="FF0C0C0C"/>
      <name val="Microsoft JhengHei"/>
      <family val="2"/>
      <charset val="136"/>
    </font>
    <font>
      <sz val="11"/>
      <color rgb="FF000000"/>
      <name val="Microsoft JhengHei"/>
      <family val="2"/>
      <charset val="136"/>
    </font>
    <font>
      <sz val="12"/>
      <color theme="0"/>
      <name val="Microsoft JhengHei"/>
      <family val="2"/>
      <charset val="136"/>
    </font>
    <font>
      <sz val="12"/>
      <color rgb="FFA5A5A5"/>
      <name val="Microsoft JhengHei"/>
      <family val="2"/>
      <charset val="136"/>
    </font>
    <font>
      <sz val="11"/>
      <color theme="1"/>
      <name val="Arial"/>
      <family val="2"/>
    </font>
    <font>
      <b/>
      <sz val="11"/>
      <color theme="1"/>
      <name val="Microsoft JhengHei"/>
      <family val="2"/>
      <charset val="136"/>
    </font>
    <font>
      <sz val="11"/>
      <color theme="0"/>
      <name val="Microsoft JhengHei"/>
      <family val="2"/>
      <charset val="136"/>
    </font>
    <font>
      <sz val="11"/>
      <color theme="0"/>
      <name val="Calibri"/>
      <family val="2"/>
    </font>
    <font>
      <sz val="11"/>
      <color theme="0"/>
      <name val="MingLiu"/>
      <family val="3"/>
      <charset val="136"/>
    </font>
    <font>
      <b/>
      <sz val="11"/>
      <color theme="0"/>
      <name val="Microsoft JhengHei"/>
      <family val="2"/>
      <charset val="136"/>
    </font>
    <font>
      <sz val="11"/>
      <color theme="1"/>
      <name val="Calibri"/>
      <family val="2"/>
      <charset val="136"/>
    </font>
    <font>
      <sz val="11"/>
      <color theme="2" tint="-0.14999847407452621"/>
      <name val="Microsoft JhengHei"/>
      <family val="2"/>
      <charset val="136"/>
    </font>
    <font>
      <sz val="9"/>
      <name val="Calibri"/>
      <family val="3"/>
      <charset val="136"/>
      <scheme val="minor"/>
    </font>
    <font>
      <sz val="11"/>
      <color theme="1"/>
      <name val="Microsoft JhengHei"/>
      <family val="2"/>
    </font>
    <font>
      <sz val="11"/>
      <color rgb="FFFF0000"/>
      <name val="Microsoft JhengHei UI"/>
      <family val="2"/>
      <charset val="136"/>
    </font>
    <font>
      <sz val="11"/>
      <color rgb="FFFF0000"/>
      <name val="Microsoft JhengHei"/>
      <family val="2"/>
      <charset val="136"/>
    </font>
  </fonts>
  <fills count="24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DADADA"/>
        <bgColor rgb="FFDADADA"/>
      </patternFill>
    </fill>
    <fill>
      <patternFill patternType="solid">
        <fgColor rgb="FFF7CAAC"/>
        <bgColor rgb="FFF7CAAC"/>
      </patternFill>
    </fill>
    <fill>
      <patternFill patternType="solid">
        <fgColor rgb="FF9CC2E5"/>
        <bgColor rgb="FF9CC2E5"/>
      </patternFill>
    </fill>
    <fill>
      <patternFill patternType="solid">
        <fgColor rgb="FFFEF2CB"/>
        <bgColor rgb="FFFEF2CB"/>
      </patternFill>
    </fill>
    <fill>
      <patternFill patternType="solid">
        <fgColor theme="2"/>
        <bgColor rgb="FFC00000"/>
      </patternFill>
    </fill>
    <fill>
      <patternFill patternType="solid">
        <fgColor theme="2"/>
        <bgColor rgb="FFE06666"/>
      </patternFill>
    </fill>
    <fill>
      <patternFill patternType="solid">
        <fgColor theme="2"/>
        <bgColor rgb="FFEA9999"/>
      </patternFill>
    </fill>
    <fill>
      <patternFill patternType="solid">
        <fgColor theme="2"/>
        <bgColor rgb="FF980000"/>
      </patternFill>
    </fill>
    <fill>
      <patternFill patternType="solid">
        <fgColor theme="2"/>
        <bgColor rgb="FFD8D8D8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rgb="FFD8D8D8"/>
      </patternFill>
    </fill>
    <fill>
      <patternFill patternType="solid">
        <fgColor theme="2"/>
        <bgColor rgb="FFDADADA"/>
      </patternFill>
    </fill>
    <fill>
      <patternFill patternType="solid">
        <fgColor theme="7" tint="0.79998168889431442"/>
        <bgColor theme="0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2" borderId="5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3" fillId="0" borderId="4" xfId="0" applyFont="1" applyBorder="1"/>
    <xf numFmtId="0" fontId="1" fillId="9" borderId="4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1" fillId="10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11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6" borderId="4" xfId="0" applyFont="1" applyFill="1" applyBorder="1"/>
    <xf numFmtId="0" fontId="8" fillId="0" borderId="12" xfId="0" applyFont="1" applyBorder="1" applyAlignment="1">
      <alignment horizontal="center" vertical="center" wrapText="1"/>
    </xf>
    <xf numFmtId="0" fontId="9" fillId="0" borderId="0" xfId="0" applyFont="1"/>
    <xf numFmtId="0" fontId="9" fillId="0" borderId="4" xfId="0" applyFont="1" applyBorder="1"/>
    <xf numFmtId="0" fontId="10" fillId="7" borderId="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/>
    <xf numFmtId="0" fontId="4" fillId="14" borderId="4" xfId="0" applyFont="1" applyFill="1" applyBorder="1" applyAlignment="1">
      <alignment horizontal="center"/>
    </xf>
    <xf numFmtId="0" fontId="3" fillId="14" borderId="4" xfId="0" applyFont="1" applyFill="1" applyBorder="1"/>
    <xf numFmtId="0" fontId="4" fillId="14" borderId="4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3" fillId="6" borderId="4" xfId="0" applyFont="1" applyFill="1" applyBorder="1"/>
    <xf numFmtId="0" fontId="5" fillId="0" borderId="13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3" fillId="0" borderId="11" xfId="0" applyFont="1" applyBorder="1"/>
    <xf numFmtId="0" fontId="5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/>
    </xf>
    <xf numFmtId="49" fontId="4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vertical="center"/>
    </xf>
    <xf numFmtId="49" fontId="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15" borderId="4" xfId="0" applyFont="1" applyFill="1" applyBorder="1" applyAlignment="1">
      <alignment horizontal="center" vertical="center"/>
    </xf>
    <xf numFmtId="0" fontId="16" fillId="16" borderId="4" xfId="0" applyFont="1" applyFill="1" applyBorder="1" applyAlignment="1">
      <alignment horizontal="center" vertical="center"/>
    </xf>
    <xf numFmtId="0" fontId="5" fillId="17" borderId="4" xfId="0" applyFont="1" applyFill="1" applyBorder="1" applyAlignment="1">
      <alignment horizontal="center" vertical="center"/>
    </xf>
    <xf numFmtId="0" fontId="6" fillId="18" borderId="4" xfId="0" applyFont="1" applyFill="1" applyBorder="1" applyAlignment="1">
      <alignment horizontal="center" vertical="center"/>
    </xf>
    <xf numFmtId="0" fontId="5" fillId="19" borderId="4" xfId="0" applyFont="1" applyFill="1" applyBorder="1" applyAlignment="1">
      <alignment horizontal="center" vertical="center"/>
    </xf>
    <xf numFmtId="0" fontId="5" fillId="19" borderId="7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4" fillId="20" borderId="22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76" fontId="4" fillId="14" borderId="4" xfId="0" applyNumberFormat="1" applyFont="1" applyFill="1" applyBorder="1" applyAlignment="1">
      <alignment horizontal="center"/>
    </xf>
    <xf numFmtId="0" fontId="5" fillId="21" borderId="7" xfId="0" applyFont="1" applyFill="1" applyBorder="1" applyAlignment="1">
      <alignment horizontal="center" vertical="center"/>
    </xf>
    <xf numFmtId="176" fontId="4" fillId="6" borderId="4" xfId="0" applyNumberFormat="1" applyFont="1" applyFill="1" applyBorder="1" applyAlignment="1">
      <alignment horizontal="center"/>
    </xf>
    <xf numFmtId="0" fontId="5" fillId="22" borderId="7" xfId="0" applyFont="1" applyFill="1" applyBorder="1" applyAlignment="1">
      <alignment horizontal="center" vertical="center"/>
    </xf>
    <xf numFmtId="176" fontId="4" fillId="14" borderId="4" xfId="0" applyNumberFormat="1" applyFont="1" applyFill="1" applyBorder="1" applyAlignment="1">
      <alignment horizontal="center" vertical="center"/>
    </xf>
    <xf numFmtId="0" fontId="5" fillId="23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9" fillId="3" borderId="4" xfId="0" applyFont="1" applyFill="1" applyBorder="1" applyAlignment="1">
      <alignment horizontal="center" vertical="center"/>
    </xf>
    <xf numFmtId="0" fontId="19" fillId="6" borderId="4" xfId="0" applyFont="1" applyFill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3" fillId="0" borderId="1" xfId="0" applyFont="1" applyBorder="1"/>
    <xf numFmtId="0" fontId="2" fillId="0" borderId="2" xfId="0" applyFont="1" applyBorder="1"/>
    <xf numFmtId="0" fontId="2" fillId="0" borderId="14" xfId="0" applyFont="1" applyBorder="1"/>
    <xf numFmtId="0" fontId="4" fillId="0" borderId="12" xfId="0" applyFont="1" applyBorder="1" applyAlignment="1">
      <alignment horizontal="center"/>
    </xf>
    <xf numFmtId="0" fontId="2" fillId="0" borderId="18" xfId="0" applyFont="1" applyBorder="1"/>
    <xf numFmtId="0" fontId="2" fillId="0" borderId="17" xfId="0" applyFont="1" applyBorder="1"/>
    <xf numFmtId="0" fontId="2" fillId="0" borderId="13" xfId="0" applyFont="1" applyBorder="1"/>
    <xf numFmtId="0" fontId="15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11" xfId="0" applyFont="1" applyBorder="1"/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wrapText="1"/>
    </xf>
    <xf numFmtId="14" fontId="4" fillId="0" borderId="12" xfId="0" applyNumberFormat="1" applyFont="1" applyBorder="1" applyAlignment="1">
      <alignment horizontal="center" vertical="center"/>
    </xf>
    <xf numFmtId="0" fontId="20" fillId="20" borderId="22" xfId="0" applyFont="1" applyFill="1" applyBorder="1" applyAlignment="1">
      <alignment horizontal="center" vertical="center" wrapText="1"/>
    </xf>
  </cellXfs>
  <cellStyles count="1">
    <cellStyle name="一般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7"/>
  <sheetViews>
    <sheetView tabSelected="1" topLeftCell="F1" workbookViewId="0">
      <selection activeCell="M13" sqref="M13"/>
    </sheetView>
  </sheetViews>
  <sheetFormatPr defaultColWidth="14.3984375" defaultRowHeight="15" customHeight="1"/>
  <cols>
    <col min="1" max="1" width="18.3984375" customWidth="1"/>
    <col min="2" max="2" width="25" customWidth="1"/>
    <col min="3" max="3" width="13.73046875" customWidth="1"/>
    <col min="4" max="4" width="13.3984375" customWidth="1"/>
    <col min="5" max="14" width="13.73046875" customWidth="1"/>
    <col min="15" max="15" width="12.1328125" customWidth="1"/>
    <col min="16" max="21" width="13.73046875" customWidth="1"/>
    <col min="22" max="25" width="7.73046875" customWidth="1"/>
  </cols>
  <sheetData>
    <row r="1" spans="1:25" ht="15.75" customHeight="1">
      <c r="A1" s="136" t="s">
        <v>0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"/>
      <c r="S1" s="1"/>
      <c r="T1" s="1"/>
      <c r="U1" s="1"/>
      <c r="V1" s="1"/>
      <c r="W1" s="1"/>
      <c r="X1" s="1"/>
      <c r="Y1" s="1"/>
    </row>
    <row r="2" spans="1:25" ht="15.75" customHeight="1">
      <c r="A2" s="137" t="s">
        <v>1</v>
      </c>
      <c r="B2" s="2" t="s">
        <v>2</v>
      </c>
      <c r="C2" s="3">
        <v>46097</v>
      </c>
      <c r="D2" s="3">
        <v>46098</v>
      </c>
      <c r="E2" s="3">
        <v>46099</v>
      </c>
      <c r="F2" s="3">
        <v>46100</v>
      </c>
      <c r="G2" s="3">
        <v>46101</v>
      </c>
      <c r="H2" s="3">
        <v>46102</v>
      </c>
      <c r="I2" s="3">
        <v>46103</v>
      </c>
      <c r="J2" s="3">
        <v>46104</v>
      </c>
      <c r="K2" s="3">
        <v>46105</v>
      </c>
      <c r="L2" s="3">
        <v>46106</v>
      </c>
      <c r="M2" s="3">
        <v>46107</v>
      </c>
      <c r="N2" s="3">
        <v>46108</v>
      </c>
      <c r="O2" s="3">
        <v>46109</v>
      </c>
      <c r="P2" s="3">
        <v>46110</v>
      </c>
      <c r="Q2" s="4">
        <v>46111</v>
      </c>
      <c r="R2" s="3">
        <v>46112</v>
      </c>
    </row>
    <row r="3" spans="1:25" ht="15.75" customHeight="1">
      <c r="A3" s="138"/>
      <c r="B3" s="2" t="s">
        <v>3</v>
      </c>
      <c r="C3" s="5" t="str">
        <f t="shared" ref="C3:R3" si="0">IF(WEEKDAY(C2,1)=1,"日",IF(WEEKDAY(C2,1)=2,"一",IF(WEEKDAY(C2,1)=3,"二",IF(WEEKDAY(C2,1)=4,"三",IF(WEEKDAY(C2,1)=5,"四",IF(WEEKDAY(C2,1)=6,"五",IF(WEEKDAY(C2,1)=7,"六","""")))))))</f>
        <v>一</v>
      </c>
      <c r="D3" s="5" t="str">
        <f t="shared" si="0"/>
        <v>二</v>
      </c>
      <c r="E3" s="5" t="str">
        <f t="shared" si="0"/>
        <v>三</v>
      </c>
      <c r="F3" s="5" t="str">
        <f t="shared" si="0"/>
        <v>四</v>
      </c>
      <c r="G3" s="5" t="str">
        <f t="shared" si="0"/>
        <v>五</v>
      </c>
      <c r="H3" s="5" t="str">
        <f t="shared" si="0"/>
        <v>六</v>
      </c>
      <c r="I3" s="5" t="str">
        <f t="shared" si="0"/>
        <v>日</v>
      </c>
      <c r="J3" s="5" t="str">
        <f t="shared" si="0"/>
        <v>一</v>
      </c>
      <c r="K3" s="5" t="str">
        <f t="shared" si="0"/>
        <v>二</v>
      </c>
      <c r="L3" s="5" t="str">
        <f t="shared" si="0"/>
        <v>三</v>
      </c>
      <c r="M3" s="5" t="str">
        <f t="shared" si="0"/>
        <v>四</v>
      </c>
      <c r="N3" s="5" t="str">
        <f t="shared" si="0"/>
        <v>五</v>
      </c>
      <c r="O3" s="5" t="str">
        <f t="shared" si="0"/>
        <v>六</v>
      </c>
      <c r="P3" s="5" t="str">
        <f t="shared" si="0"/>
        <v>日</v>
      </c>
      <c r="Q3" s="6" t="str">
        <f t="shared" si="0"/>
        <v>一</v>
      </c>
      <c r="R3" s="5" t="str">
        <f t="shared" si="0"/>
        <v>二</v>
      </c>
    </row>
    <row r="4" spans="1:25" ht="15.75" customHeight="1">
      <c r="A4" s="138"/>
      <c r="B4" s="7" t="s">
        <v>4</v>
      </c>
      <c r="C4" s="8" t="str">
        <f t="shared" ref="C4:R4" si="1">IF(WEEKDAY(C2,1)=1,"放假",IF(WEEKDAY(C2,1)=2,"清/徐/宇/中",IF(WEEKDAY(C2,1)=3,"欽/瑜/岳",IF(WEEKDAY(C2,1)=4,"芝/蕙/中/彥",IF(WEEKDAY(C2,1)=5,"曾/蕙瑜",IF(WEEKDAY(C2,1)=6,"翰/徐/蕙",IF(WEEKDAY(C2,1)=7,"清/仁","""")))))))</f>
        <v>清/徐/宇/中</v>
      </c>
      <c r="D4" s="8" t="str">
        <f t="shared" si="1"/>
        <v>欽/瑜/岳</v>
      </c>
      <c r="E4" s="8" t="str">
        <f t="shared" si="1"/>
        <v>芝/蕙/中/彥</v>
      </c>
      <c r="F4" s="8" t="str">
        <f t="shared" si="1"/>
        <v>曾/蕙瑜</v>
      </c>
      <c r="G4" s="8" t="str">
        <f t="shared" si="1"/>
        <v>翰/徐/蕙</v>
      </c>
      <c r="H4" s="8" t="str">
        <f t="shared" si="1"/>
        <v>清/仁</v>
      </c>
      <c r="I4" s="8" t="str">
        <f t="shared" si="1"/>
        <v>放假</v>
      </c>
      <c r="J4" s="8" t="str">
        <f t="shared" si="1"/>
        <v>清/徐/宇/中</v>
      </c>
      <c r="K4" s="8" t="str">
        <f t="shared" si="1"/>
        <v>欽/瑜/岳</v>
      </c>
      <c r="L4" s="8" t="str">
        <f t="shared" si="1"/>
        <v>芝/蕙/中/彥</v>
      </c>
      <c r="M4" s="8" t="str">
        <f t="shared" si="1"/>
        <v>曾/蕙瑜</v>
      </c>
      <c r="N4" s="8" t="str">
        <f t="shared" si="1"/>
        <v>翰/徐/蕙</v>
      </c>
      <c r="O4" s="8" t="str">
        <f t="shared" si="1"/>
        <v>清/仁</v>
      </c>
      <c r="P4" s="8" t="str">
        <f t="shared" si="1"/>
        <v>放假</v>
      </c>
      <c r="Q4" s="9" t="str">
        <f t="shared" si="1"/>
        <v>清/徐/宇/中</v>
      </c>
      <c r="R4" s="10" t="str">
        <f t="shared" si="1"/>
        <v>欽/瑜/岳</v>
      </c>
    </row>
    <row r="5" spans="1:25" ht="15.75" customHeight="1">
      <c r="A5" s="138"/>
      <c r="B5" s="2"/>
      <c r="C5" s="14"/>
      <c r="D5" s="14"/>
      <c r="E5" s="108"/>
      <c r="F5" s="108"/>
      <c r="G5" s="108"/>
      <c r="H5" s="16"/>
      <c r="I5" s="13" t="s">
        <v>70</v>
      </c>
      <c r="J5" s="14"/>
      <c r="K5" s="14"/>
      <c r="L5" s="15"/>
      <c r="M5" s="15"/>
      <c r="N5" s="15"/>
      <c r="O5" s="16"/>
      <c r="P5" s="16"/>
      <c r="Q5" s="17"/>
      <c r="R5" s="18"/>
    </row>
    <row r="6" spans="1:25" ht="15.75" customHeight="1">
      <c r="A6" s="138"/>
      <c r="B6" s="107" t="s">
        <v>5</v>
      </c>
      <c r="C6" s="112" t="s">
        <v>80</v>
      </c>
      <c r="D6" s="112" t="s">
        <v>81</v>
      </c>
      <c r="E6" s="112" t="s">
        <v>80</v>
      </c>
      <c r="F6" s="112" t="s">
        <v>81</v>
      </c>
      <c r="G6" s="112" t="s">
        <v>80</v>
      </c>
      <c r="H6" s="112" t="s">
        <v>80</v>
      </c>
      <c r="I6" s="113"/>
      <c r="J6" s="112" t="s">
        <v>80</v>
      </c>
      <c r="K6" s="112" t="s">
        <v>80</v>
      </c>
      <c r="L6" s="112" t="s">
        <v>81</v>
      </c>
      <c r="M6" s="112" t="s">
        <v>81</v>
      </c>
      <c r="N6" s="112" t="s">
        <v>81</v>
      </c>
      <c r="O6" s="112" t="s">
        <v>81</v>
      </c>
      <c r="P6" s="114"/>
      <c r="Q6" s="144" t="s">
        <v>80</v>
      </c>
      <c r="R6" s="144" t="s">
        <v>81</v>
      </c>
    </row>
    <row r="7" spans="1:25" ht="15.75" customHeight="1">
      <c r="A7" s="138"/>
      <c r="B7" s="19" t="s">
        <v>6</v>
      </c>
      <c r="C7" s="109" t="s">
        <v>7</v>
      </c>
      <c r="D7" s="110" t="s">
        <v>8</v>
      </c>
      <c r="E7" s="70" t="s">
        <v>9</v>
      </c>
      <c r="F7" s="70" t="s">
        <v>10</v>
      </c>
      <c r="G7" s="70" t="s">
        <v>68</v>
      </c>
      <c r="H7" s="111"/>
      <c r="I7" s="13"/>
      <c r="J7" s="115" t="s">
        <v>10</v>
      </c>
      <c r="K7" s="115" t="s">
        <v>11</v>
      </c>
      <c r="L7" s="116" t="s">
        <v>9</v>
      </c>
      <c r="M7" s="116" t="s">
        <v>8</v>
      </c>
      <c r="N7" s="116" t="s">
        <v>12</v>
      </c>
      <c r="O7" s="117"/>
      <c r="P7" s="16"/>
      <c r="Q7" s="20" t="s">
        <v>8</v>
      </c>
      <c r="R7" s="21" t="s">
        <v>8</v>
      </c>
    </row>
    <row r="8" spans="1:25" ht="15.75" customHeight="1">
      <c r="A8" s="138"/>
      <c r="B8" s="22" t="s">
        <v>13</v>
      </c>
      <c r="C8" s="11" t="s">
        <v>10</v>
      </c>
      <c r="D8" s="11" t="s">
        <v>11</v>
      </c>
      <c r="E8" s="12" t="s">
        <v>12</v>
      </c>
      <c r="F8" s="12" t="s">
        <v>75</v>
      </c>
      <c r="G8" s="12" t="s">
        <v>74</v>
      </c>
      <c r="H8" s="105" t="s">
        <v>74</v>
      </c>
      <c r="I8" s="13"/>
      <c r="J8" s="14" t="s">
        <v>8</v>
      </c>
      <c r="K8" s="14" t="s">
        <v>10</v>
      </c>
      <c r="L8" s="15" t="s">
        <v>8</v>
      </c>
      <c r="M8" s="15" t="s">
        <v>12</v>
      </c>
      <c r="N8" s="15" t="s">
        <v>77</v>
      </c>
      <c r="O8" s="106" t="s">
        <v>75</v>
      </c>
      <c r="P8" s="16"/>
      <c r="Q8" s="17" t="s">
        <v>10</v>
      </c>
      <c r="R8" s="21" t="s">
        <v>11</v>
      </c>
    </row>
    <row r="9" spans="1:25" ht="15.4">
      <c r="A9" s="138"/>
      <c r="B9" s="2"/>
      <c r="C9" s="11"/>
      <c r="D9" s="11"/>
      <c r="E9" s="12"/>
      <c r="F9" s="12"/>
      <c r="G9" s="12"/>
      <c r="H9" s="13"/>
      <c r="I9" s="13"/>
      <c r="J9" s="14"/>
      <c r="K9" s="14"/>
      <c r="L9" s="15"/>
      <c r="M9" s="15"/>
      <c r="N9" s="15"/>
      <c r="O9" s="16"/>
      <c r="P9" s="16"/>
      <c r="Q9" s="17"/>
      <c r="R9" s="21"/>
    </row>
    <row r="10" spans="1:25" ht="15.4">
      <c r="A10" s="138"/>
      <c r="B10" s="2" t="s">
        <v>14</v>
      </c>
      <c r="C10" s="101"/>
      <c r="D10" s="11" t="s">
        <v>65</v>
      </c>
      <c r="E10" s="103" t="s">
        <v>66</v>
      </c>
      <c r="F10" s="102"/>
      <c r="G10" s="103" t="s">
        <v>67</v>
      </c>
      <c r="H10" s="13"/>
      <c r="I10" s="105" t="s">
        <v>72</v>
      </c>
      <c r="J10" s="14"/>
      <c r="K10" s="12" t="s">
        <v>16</v>
      </c>
      <c r="L10" s="104"/>
      <c r="M10" s="12" t="s">
        <v>15</v>
      </c>
      <c r="N10" s="12" t="s">
        <v>69</v>
      </c>
      <c r="O10" s="16"/>
      <c r="P10" s="16"/>
      <c r="Q10" s="17"/>
      <c r="R10" s="18"/>
    </row>
    <row r="11" spans="1:25" ht="15.4">
      <c r="A11" s="138"/>
      <c r="B11" s="2" t="s">
        <v>14</v>
      </c>
      <c r="C11" s="11" t="s">
        <v>17</v>
      </c>
      <c r="D11" s="11"/>
      <c r="E11" s="12" t="s">
        <v>18</v>
      </c>
      <c r="F11" s="12"/>
      <c r="G11" s="12"/>
      <c r="H11" s="13"/>
      <c r="I11" s="105" t="s">
        <v>78</v>
      </c>
      <c r="J11" s="11" t="s">
        <v>17</v>
      </c>
      <c r="K11" s="14"/>
      <c r="L11" s="12" t="s">
        <v>18</v>
      </c>
      <c r="M11" s="15"/>
      <c r="N11" s="15"/>
      <c r="O11" s="16"/>
      <c r="P11" s="16"/>
      <c r="Q11" s="11" t="s">
        <v>17</v>
      </c>
      <c r="R11" s="18"/>
    </row>
    <row r="12" spans="1:25" ht="15.4">
      <c r="A12" s="138"/>
      <c r="B12" s="23" t="s">
        <v>19</v>
      </c>
      <c r="C12" s="11"/>
      <c r="D12" s="11"/>
      <c r="E12" s="12"/>
      <c r="F12" s="12"/>
      <c r="G12" s="12"/>
      <c r="H12" s="13"/>
      <c r="I12" s="105" t="s">
        <v>73</v>
      </c>
      <c r="J12" s="14"/>
      <c r="K12" s="14"/>
      <c r="L12" s="15"/>
      <c r="M12" s="15"/>
      <c r="N12" s="15"/>
      <c r="O12" s="16"/>
      <c r="P12" s="16"/>
      <c r="Q12" s="17"/>
      <c r="R12" s="18"/>
    </row>
    <row r="13" spans="1:25" ht="15.4">
      <c r="A13" s="138"/>
      <c r="B13" s="2"/>
      <c r="C13" s="11"/>
      <c r="D13" s="11"/>
      <c r="E13" s="12"/>
      <c r="F13" s="12"/>
      <c r="G13" s="12"/>
      <c r="H13" s="13"/>
      <c r="I13" s="13"/>
      <c r="J13" s="14"/>
      <c r="K13" s="14"/>
      <c r="L13" s="15"/>
      <c r="M13" s="15"/>
      <c r="N13" s="15"/>
      <c r="O13" s="16"/>
      <c r="P13" s="16"/>
      <c r="Q13" s="17"/>
      <c r="R13" s="18"/>
    </row>
    <row r="14" spans="1:25" ht="15.4">
      <c r="A14" s="139"/>
      <c r="B14" s="24" t="s">
        <v>20</v>
      </c>
      <c r="C14" s="11"/>
      <c r="D14" s="11"/>
      <c r="E14" s="12"/>
      <c r="F14" s="12"/>
      <c r="G14" s="12"/>
      <c r="H14" s="13"/>
      <c r="I14" s="13"/>
      <c r="J14" s="11"/>
      <c r="K14" s="14"/>
      <c r="L14" s="15"/>
      <c r="M14" s="15"/>
      <c r="N14" s="15"/>
      <c r="O14" s="16"/>
      <c r="P14" s="16"/>
      <c r="Q14" s="17"/>
      <c r="R14" s="18"/>
    </row>
    <row r="15" spans="1:25" ht="15.75" customHeight="1">
      <c r="A15" s="137" t="s">
        <v>21</v>
      </c>
      <c r="B15" s="7" t="s">
        <v>4</v>
      </c>
      <c r="C15" s="8" t="str">
        <f t="shared" ref="C15:R15" si="2">IF(WEEKDAY(C2,1)=1,"放假",IF(WEEKDAY(C2,1)=2,"芝/茜/瑜",IF(WEEKDAY(C2,1)=3,"逸/曾/宇/善",IF(WEEKDAY(C2,1)=4,"芝/曾/茜/蓁",IF(WEEKDAY(C2,1)=5,"清/茜/宇",IF(WEEKDAY(C2,1)=6,"卿/蓁",IF(WEEKDAY(C2,1)=7,"放假")))))))</f>
        <v>芝/茜/瑜</v>
      </c>
      <c r="D15" s="8" t="str">
        <f t="shared" si="2"/>
        <v>逸/曾/宇/善</v>
      </c>
      <c r="E15" s="8" t="str">
        <f t="shared" si="2"/>
        <v>芝/曾/茜/蓁</v>
      </c>
      <c r="F15" s="8" t="str">
        <f t="shared" si="2"/>
        <v>清/茜/宇</v>
      </c>
      <c r="G15" s="8" t="str">
        <f t="shared" si="2"/>
        <v>卿/蓁</v>
      </c>
      <c r="H15" s="8" t="str">
        <f t="shared" si="2"/>
        <v>放假</v>
      </c>
      <c r="I15" s="8" t="str">
        <f t="shared" si="2"/>
        <v>放假</v>
      </c>
      <c r="J15" s="8" t="str">
        <f t="shared" si="2"/>
        <v>芝/茜/瑜</v>
      </c>
      <c r="K15" s="8" t="str">
        <f t="shared" si="2"/>
        <v>逸/曾/宇/善</v>
      </c>
      <c r="L15" s="8" t="str">
        <f t="shared" si="2"/>
        <v>芝/曾/茜/蓁</v>
      </c>
      <c r="M15" s="8" t="str">
        <f t="shared" si="2"/>
        <v>清/茜/宇</v>
      </c>
      <c r="N15" s="8" t="str">
        <f t="shared" si="2"/>
        <v>卿/蓁</v>
      </c>
      <c r="O15" s="8" t="str">
        <f t="shared" si="2"/>
        <v>放假</v>
      </c>
      <c r="P15" s="8" t="str">
        <f t="shared" si="2"/>
        <v>放假</v>
      </c>
      <c r="Q15" s="9" t="str">
        <f t="shared" si="2"/>
        <v>芝/茜/瑜</v>
      </c>
      <c r="R15" s="10" t="str">
        <f t="shared" si="2"/>
        <v>逸/曾/宇/善</v>
      </c>
    </row>
    <row r="16" spans="1:25" ht="15.75" customHeight="1">
      <c r="A16" s="138"/>
      <c r="B16" s="25"/>
      <c r="C16" s="26"/>
      <c r="D16" s="26"/>
      <c r="E16" s="27"/>
      <c r="F16" s="27"/>
      <c r="G16" s="27"/>
      <c r="H16" s="28"/>
      <c r="I16" s="28"/>
      <c r="J16" s="11"/>
      <c r="K16" s="11"/>
      <c r="L16" s="29"/>
      <c r="M16" s="29"/>
      <c r="N16" s="29"/>
      <c r="O16" s="13"/>
      <c r="P16" s="30"/>
      <c r="Q16" s="31"/>
      <c r="R16" s="18"/>
    </row>
    <row r="17" spans="1:25" ht="15.75" customHeight="1">
      <c r="A17" s="138"/>
      <c r="B17" s="32" t="s">
        <v>22</v>
      </c>
      <c r="C17" s="126" t="s">
        <v>68</v>
      </c>
      <c r="D17" s="26" t="s">
        <v>10</v>
      </c>
      <c r="E17" s="27" t="s">
        <v>11</v>
      </c>
      <c r="F17" s="27" t="s">
        <v>8</v>
      </c>
      <c r="G17" s="127" t="s">
        <v>93</v>
      </c>
      <c r="H17" s="28"/>
      <c r="I17" s="28"/>
      <c r="J17" s="11" t="s">
        <v>11</v>
      </c>
      <c r="K17" s="11" t="s">
        <v>8</v>
      </c>
      <c r="L17" s="29" t="s">
        <v>12</v>
      </c>
      <c r="M17" s="29" t="s">
        <v>8</v>
      </c>
      <c r="N17" s="125" t="s">
        <v>77</v>
      </c>
      <c r="O17" s="13"/>
      <c r="P17" s="30"/>
      <c r="Q17" s="31" t="s">
        <v>11</v>
      </c>
      <c r="R17" s="21" t="s">
        <v>10</v>
      </c>
    </row>
    <row r="18" spans="1:25" ht="15.75" customHeight="1">
      <c r="A18" s="138"/>
      <c r="B18" s="33" t="s">
        <v>71</v>
      </c>
      <c r="C18" s="26"/>
      <c r="D18" s="26"/>
      <c r="E18" s="27"/>
      <c r="F18" s="27"/>
      <c r="G18" s="27"/>
      <c r="H18" s="28"/>
      <c r="I18" s="28"/>
      <c r="J18" s="11"/>
      <c r="K18" s="11"/>
      <c r="L18" s="29"/>
      <c r="M18" s="29"/>
      <c r="N18" s="29"/>
      <c r="O18" s="13"/>
      <c r="P18" s="30"/>
      <c r="Q18" s="31"/>
      <c r="R18" s="18"/>
    </row>
    <row r="19" spans="1:25" ht="15.4">
      <c r="A19" s="138"/>
      <c r="B19" s="33" t="s">
        <v>14</v>
      </c>
      <c r="C19" s="34"/>
      <c r="D19" s="26"/>
      <c r="E19" s="27"/>
      <c r="F19" s="27"/>
      <c r="G19" s="27"/>
      <c r="H19" s="28"/>
      <c r="I19" s="13"/>
      <c r="J19" s="11"/>
      <c r="K19" s="11"/>
      <c r="L19" s="12" t="s">
        <v>23</v>
      </c>
      <c r="M19" s="29"/>
      <c r="N19" s="29"/>
      <c r="O19" s="13"/>
      <c r="P19" s="30"/>
      <c r="Q19" s="31"/>
      <c r="R19" s="18"/>
    </row>
    <row r="20" spans="1:25" ht="15.4">
      <c r="A20" s="138"/>
      <c r="B20" s="33"/>
      <c r="C20" s="34"/>
      <c r="D20" s="26"/>
      <c r="E20" s="27"/>
      <c r="F20" s="27"/>
      <c r="G20" s="27"/>
      <c r="H20" s="28"/>
      <c r="I20" s="13"/>
      <c r="J20" s="11"/>
      <c r="K20" s="11"/>
      <c r="L20" s="29"/>
      <c r="M20" s="29"/>
      <c r="N20" s="29"/>
      <c r="O20" s="13"/>
      <c r="P20" s="30"/>
      <c r="Q20" s="31"/>
      <c r="R20" s="18"/>
    </row>
    <row r="21" spans="1:25" ht="15.75" customHeight="1">
      <c r="A21" s="138"/>
      <c r="B21" s="35" t="s">
        <v>20</v>
      </c>
      <c r="C21" s="34"/>
      <c r="D21" s="26"/>
      <c r="E21" s="27"/>
      <c r="F21" s="27"/>
      <c r="G21" s="27"/>
      <c r="H21" s="28"/>
      <c r="I21" s="13"/>
      <c r="J21" s="11"/>
      <c r="K21" s="11"/>
      <c r="L21" s="29"/>
      <c r="M21" s="29"/>
      <c r="N21" s="29"/>
      <c r="O21" s="13"/>
      <c r="P21" s="30"/>
      <c r="Q21" s="31"/>
      <c r="R21" s="18"/>
    </row>
    <row r="22" spans="1:25" ht="15.75" customHeight="1">
      <c r="A22" s="138"/>
      <c r="B22" s="33"/>
      <c r="C22" s="34"/>
      <c r="D22" s="26"/>
      <c r="E22" s="27"/>
      <c r="F22" s="27"/>
      <c r="G22" s="27"/>
      <c r="H22" s="28"/>
      <c r="I22" s="13"/>
      <c r="J22" s="11"/>
      <c r="K22" s="11"/>
      <c r="L22" s="29"/>
      <c r="M22" s="29"/>
      <c r="N22" s="29"/>
      <c r="O22" s="13"/>
      <c r="P22" s="30"/>
      <c r="Q22" s="31"/>
      <c r="R22" s="18"/>
      <c r="S22" s="36"/>
      <c r="T22" s="36"/>
      <c r="U22" s="36"/>
      <c r="V22" s="36"/>
      <c r="W22" s="36"/>
      <c r="X22" s="36"/>
    </row>
    <row r="23" spans="1:25" ht="15.75" customHeight="1">
      <c r="A23" s="138"/>
      <c r="B23" s="2"/>
      <c r="C23" s="34"/>
      <c r="D23" s="26"/>
      <c r="E23" s="27"/>
      <c r="F23" s="27"/>
      <c r="G23" s="27"/>
      <c r="H23" s="28"/>
      <c r="I23" s="13"/>
      <c r="J23" s="11"/>
      <c r="K23" s="11"/>
      <c r="L23" s="29"/>
      <c r="M23" s="29"/>
      <c r="N23" s="29"/>
      <c r="O23" s="13"/>
      <c r="P23" s="30"/>
      <c r="Q23" s="31"/>
      <c r="R23" s="37"/>
      <c r="S23" s="36"/>
      <c r="T23" s="36"/>
      <c r="U23" s="36"/>
      <c r="V23" s="36"/>
      <c r="W23" s="36"/>
      <c r="X23" s="36"/>
    </row>
    <row r="24" spans="1:25" ht="15.75" customHeight="1">
      <c r="A24" s="138"/>
      <c r="B24" s="2"/>
      <c r="C24" s="34"/>
      <c r="D24" s="26"/>
      <c r="E24" s="27"/>
      <c r="F24" s="27"/>
      <c r="G24" s="27"/>
      <c r="H24" s="28"/>
      <c r="I24" s="13"/>
      <c r="J24" s="11"/>
      <c r="K24" s="11"/>
      <c r="L24" s="29"/>
      <c r="M24" s="29"/>
      <c r="N24" s="29"/>
      <c r="O24" s="13"/>
      <c r="P24" s="30"/>
      <c r="Q24" s="31"/>
      <c r="R24" s="37"/>
      <c r="S24" s="36"/>
      <c r="T24" s="36"/>
      <c r="U24" s="36"/>
      <c r="V24" s="36"/>
      <c r="W24" s="36"/>
      <c r="X24" s="36"/>
    </row>
    <row r="25" spans="1:25" ht="15.75" customHeight="1">
      <c r="A25" s="138"/>
      <c r="B25" s="2"/>
      <c r="C25" s="34"/>
      <c r="D25" s="26"/>
      <c r="E25" s="27"/>
      <c r="F25" s="27"/>
      <c r="G25" s="27"/>
      <c r="H25" s="28"/>
      <c r="I25" s="38"/>
      <c r="J25" s="11"/>
      <c r="K25" s="11"/>
      <c r="L25" s="29"/>
      <c r="M25" s="29"/>
      <c r="N25" s="29"/>
      <c r="O25" s="13"/>
      <c r="P25" s="30"/>
      <c r="Q25" s="31"/>
      <c r="R25" s="37"/>
    </row>
    <row r="26" spans="1:25" ht="15.75" customHeight="1">
      <c r="A26" s="139"/>
      <c r="B26" s="2"/>
      <c r="C26" s="34"/>
      <c r="D26" s="26"/>
      <c r="E26" s="27"/>
      <c r="F26" s="27"/>
      <c r="G26" s="27"/>
      <c r="H26" s="28"/>
      <c r="I26" s="13"/>
      <c r="J26" s="11"/>
      <c r="K26" s="11"/>
      <c r="L26" s="29"/>
      <c r="M26" s="29"/>
      <c r="N26" s="29"/>
      <c r="O26" s="13"/>
      <c r="P26" s="30"/>
      <c r="Q26" s="31"/>
      <c r="R26" s="18"/>
    </row>
    <row r="27" spans="1:25" ht="15.75" customHeight="1">
      <c r="A27" s="39" t="s">
        <v>24</v>
      </c>
      <c r="B27" s="40" t="s">
        <v>4</v>
      </c>
      <c r="C27" s="41" t="str">
        <f t="shared" ref="C27:R27" si="3">IF(WEEKDAY(C2,1)=1," ",IF(WEEKDAY(C2,1)=2,"徐",IF(WEEKDAY(C2,1)=3,"清",IF(WEEKDAY(C2,1)=4,"英",IF(WEEKDAY(C2,1)=5,"逸",IF(WEEKDAY(C2,1)=6,"X",IF(WEEKDAY(C2,1)=7," ","""")))))))</f>
        <v>徐</v>
      </c>
      <c r="D27" s="41" t="str">
        <f t="shared" si="3"/>
        <v>清</v>
      </c>
      <c r="E27" s="41" t="str">
        <f t="shared" si="3"/>
        <v>英</v>
      </c>
      <c r="F27" s="41" t="str">
        <f t="shared" si="3"/>
        <v>逸</v>
      </c>
      <c r="G27" s="41" t="str">
        <f t="shared" si="3"/>
        <v>X</v>
      </c>
      <c r="H27" s="41" t="str">
        <f t="shared" si="3"/>
        <v xml:space="preserve"> </v>
      </c>
      <c r="I27" s="41" t="str">
        <f t="shared" si="3"/>
        <v xml:space="preserve"> </v>
      </c>
      <c r="J27" s="41" t="str">
        <f t="shared" si="3"/>
        <v>徐</v>
      </c>
      <c r="K27" s="41" t="str">
        <f t="shared" si="3"/>
        <v>清</v>
      </c>
      <c r="L27" s="41" t="str">
        <f t="shared" si="3"/>
        <v>英</v>
      </c>
      <c r="M27" s="41" t="str">
        <f t="shared" si="3"/>
        <v>逸</v>
      </c>
      <c r="N27" s="41" t="str">
        <f t="shared" si="3"/>
        <v>X</v>
      </c>
      <c r="O27" s="41" t="str">
        <f t="shared" si="3"/>
        <v xml:space="preserve"> </v>
      </c>
      <c r="P27" s="41" t="str">
        <f t="shared" si="3"/>
        <v xml:space="preserve"> </v>
      </c>
      <c r="Q27" s="41" t="str">
        <f t="shared" si="3"/>
        <v>徐</v>
      </c>
      <c r="R27" s="41" t="str">
        <f t="shared" si="3"/>
        <v>清</v>
      </c>
      <c r="S27" s="36"/>
      <c r="T27" s="36"/>
      <c r="U27" s="36"/>
      <c r="V27" s="36"/>
      <c r="W27" s="36"/>
      <c r="X27" s="36"/>
    </row>
    <row r="28" spans="1:25" ht="16.5" customHeight="1">
      <c r="A28" s="140" t="s">
        <v>25</v>
      </c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37"/>
      <c r="S28" s="1"/>
      <c r="T28" s="1"/>
      <c r="U28" s="1"/>
      <c r="V28" s="1"/>
    </row>
    <row r="29" spans="1:25" ht="16.5" customHeight="1">
      <c r="A29" s="141" t="s">
        <v>26</v>
      </c>
      <c r="B29" s="130"/>
      <c r="C29" s="142" t="s">
        <v>27</v>
      </c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42"/>
      <c r="S29" s="1"/>
      <c r="T29" s="1"/>
      <c r="U29" s="1"/>
      <c r="V29" s="1"/>
    </row>
    <row r="30" spans="1:25" ht="16.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4"/>
      <c r="L30" s="45"/>
      <c r="M30" s="45"/>
      <c r="N30" s="45"/>
      <c r="O30" s="45"/>
      <c r="P30" s="45"/>
      <c r="Q30" s="45"/>
      <c r="R30" s="45"/>
      <c r="S30" s="1"/>
      <c r="T30" s="1"/>
      <c r="U30" s="1"/>
      <c r="V30" s="1"/>
      <c r="W30" s="1"/>
      <c r="X30" s="1"/>
    </row>
    <row r="31" spans="1:25" ht="15.7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1"/>
      <c r="T31" s="1"/>
      <c r="U31" s="1"/>
      <c r="V31" s="1"/>
      <c r="W31" s="1"/>
      <c r="X31" s="1"/>
    </row>
    <row r="32" spans="1:25" ht="15.75" customHeight="1">
      <c r="A32" s="47" t="s">
        <v>28</v>
      </c>
      <c r="B32" s="47" t="s">
        <v>29</v>
      </c>
      <c r="C32" s="47" t="s">
        <v>29</v>
      </c>
      <c r="D32" s="47" t="s">
        <v>30</v>
      </c>
      <c r="E32" s="48" t="s">
        <v>14</v>
      </c>
      <c r="F32" s="48" t="s">
        <v>14</v>
      </c>
      <c r="G32" s="47" t="s">
        <v>31</v>
      </c>
      <c r="H32" s="49" t="s">
        <v>32</v>
      </c>
      <c r="I32" s="49" t="s">
        <v>33</v>
      </c>
      <c r="J32" s="49" t="s">
        <v>34</v>
      </c>
      <c r="K32" s="49" t="s">
        <v>35</v>
      </c>
      <c r="L32" s="50" t="s">
        <v>36</v>
      </c>
      <c r="M32" s="50" t="s">
        <v>37</v>
      </c>
      <c r="N32" s="51" t="s">
        <v>38</v>
      </c>
      <c r="O32" s="51" t="s">
        <v>39</v>
      </c>
      <c r="P32" s="52" t="s">
        <v>40</v>
      </c>
      <c r="Q32" s="53"/>
      <c r="R32" s="53" t="s">
        <v>41</v>
      </c>
      <c r="S32" s="53" t="s">
        <v>42</v>
      </c>
      <c r="T32" s="53" t="s">
        <v>43</v>
      </c>
      <c r="U32" s="53" t="s">
        <v>44</v>
      </c>
      <c r="V32" s="53" t="s">
        <v>45</v>
      </c>
      <c r="W32" s="54"/>
      <c r="X32" s="55" t="s">
        <v>46</v>
      </c>
      <c r="Y32" s="56"/>
    </row>
    <row r="33" spans="1:30" ht="15.75" customHeight="1">
      <c r="A33" s="118" t="s">
        <v>82</v>
      </c>
      <c r="B33" s="57"/>
      <c r="C33" s="58"/>
      <c r="D33" s="57"/>
      <c r="E33" s="119" t="s">
        <v>83</v>
      </c>
      <c r="F33" s="59"/>
      <c r="G33" s="60" t="s">
        <v>47</v>
      </c>
      <c r="H33" s="47">
        <f>COUNTIF(B7:R7,"*善*")</f>
        <v>0</v>
      </c>
      <c r="I33" s="47">
        <f>COUNTIF(B8:R8,"*善*")</f>
        <v>0</v>
      </c>
      <c r="J33" s="47">
        <f>COUNTIF($C$6:$R$6,"*善*")</f>
        <v>0</v>
      </c>
      <c r="K33" s="47">
        <f>COUNTIF(B17:R17,"*善*")</f>
        <v>0</v>
      </c>
      <c r="L33" s="47">
        <f>COUNTIF(B10:R13,"*善*")</f>
        <v>0</v>
      </c>
      <c r="M33" s="47">
        <f>COUNTIF(B18:R19,"*善*")</f>
        <v>0</v>
      </c>
      <c r="N33" s="47">
        <f>COUNTIF(B4:R4,"*善*")</f>
        <v>0</v>
      </c>
      <c r="O33" s="47">
        <f>COUNTIF(B15:R15,"*善*")</f>
        <v>3</v>
      </c>
      <c r="P33" s="48">
        <f t="shared" ref="P33:P40" si="4">SUM(G33:O33)</f>
        <v>3</v>
      </c>
      <c r="Q33" s="61"/>
      <c r="R33" s="62">
        <v>4</v>
      </c>
      <c r="S33" s="62">
        <v>0</v>
      </c>
      <c r="T33" s="62">
        <v>4</v>
      </c>
      <c r="U33" s="62">
        <v>0</v>
      </c>
      <c r="V33" s="63">
        <f t="shared" ref="V33:V40" si="5">SUM(R33:U33)</f>
        <v>8</v>
      </c>
      <c r="W33" s="54"/>
      <c r="X33" s="54">
        <f t="shared" ref="X33:X40" si="6">SUM(R33,T33)</f>
        <v>8</v>
      </c>
      <c r="Y33" s="56"/>
    </row>
    <row r="34" spans="1:30" ht="15.75" customHeight="1">
      <c r="A34" s="120" t="s">
        <v>84</v>
      </c>
      <c r="B34" s="112" t="s">
        <v>81</v>
      </c>
      <c r="C34" s="112" t="s">
        <v>85</v>
      </c>
      <c r="D34" s="47" t="s">
        <v>68</v>
      </c>
      <c r="E34" s="121" t="s">
        <v>86</v>
      </c>
      <c r="F34" s="64"/>
      <c r="G34" s="65" t="s">
        <v>48</v>
      </c>
      <c r="H34" s="47">
        <f>COUNTIF(B7:R7,"*岳*")</f>
        <v>0</v>
      </c>
      <c r="I34" s="47">
        <f>COUNTIF(B8:R8,"*岳*")</f>
        <v>0</v>
      </c>
      <c r="J34" s="47">
        <f>COUNTIF($C$6:$R$6,"*岳*")</f>
        <v>0</v>
      </c>
      <c r="K34" s="47">
        <f>COUNTIF(B17:R17,"*岳*")</f>
        <v>0</v>
      </c>
      <c r="L34" s="47">
        <f>COUNTIF(B10:R13,"*岳*")</f>
        <v>0</v>
      </c>
      <c r="M34" s="47">
        <f>COUNTIF(B18:R19,"*岳*")</f>
        <v>0</v>
      </c>
      <c r="N34" s="47">
        <f>COUNTIF(B4:R4,"*岳*")</f>
        <v>3</v>
      </c>
      <c r="O34" s="47">
        <f>COUNTIF(B15:R15,"*岳*")</f>
        <v>0</v>
      </c>
      <c r="P34" s="48">
        <f t="shared" si="4"/>
        <v>3</v>
      </c>
      <c r="Q34" s="61"/>
      <c r="R34" s="63">
        <v>4</v>
      </c>
      <c r="S34" s="63">
        <v>0</v>
      </c>
      <c r="T34" s="63">
        <v>4</v>
      </c>
      <c r="U34" s="63">
        <v>3</v>
      </c>
      <c r="V34" s="63">
        <f t="shared" si="5"/>
        <v>11</v>
      </c>
      <c r="W34" s="54"/>
      <c r="X34" s="54">
        <f t="shared" si="6"/>
        <v>8</v>
      </c>
      <c r="Y34" s="54"/>
    </row>
    <row r="35" spans="1:30" ht="15.75" customHeight="1">
      <c r="A35" s="122" t="s">
        <v>87</v>
      </c>
      <c r="B35" s="57" t="s">
        <v>85</v>
      </c>
      <c r="C35" s="57"/>
      <c r="D35" s="123" t="s">
        <v>74</v>
      </c>
      <c r="E35" s="57"/>
      <c r="F35" s="59"/>
      <c r="G35" s="60" t="s">
        <v>49</v>
      </c>
      <c r="H35" s="47">
        <f>COUNTIF(B7:R7,"*彥*")</f>
        <v>0</v>
      </c>
      <c r="I35" s="47">
        <f>COUNTIF(B8:R8,"*彥*")</f>
        <v>0</v>
      </c>
      <c r="J35" s="47">
        <f>COUNTIF($C$6:$R$6,"*彥*")</f>
        <v>0</v>
      </c>
      <c r="K35" s="47">
        <f>COUNTIF(B17:R17,"*彥*")</f>
        <v>0</v>
      </c>
      <c r="L35" s="47">
        <f>COUNTIF(B10:R13,"*彥*")</f>
        <v>0</v>
      </c>
      <c r="M35" s="47">
        <f>COUNTIF(B18:R20,"*彥*")</f>
        <v>0</v>
      </c>
      <c r="N35" s="47">
        <f>COUNTIF(B4:R4,"*彥*")</f>
        <v>2</v>
      </c>
      <c r="O35" s="47">
        <f>COUNTIF(B15:R15,"*彥*")</f>
        <v>0</v>
      </c>
      <c r="P35" s="48">
        <f t="shared" si="4"/>
        <v>2</v>
      </c>
      <c r="Q35" s="61"/>
      <c r="R35" s="53">
        <v>0</v>
      </c>
      <c r="S35" s="53">
        <v>0</v>
      </c>
      <c r="T35" s="53">
        <v>2</v>
      </c>
      <c r="U35" s="53">
        <v>0</v>
      </c>
      <c r="V35" s="63">
        <f t="shared" si="5"/>
        <v>2</v>
      </c>
      <c r="W35" s="54"/>
      <c r="X35" s="54">
        <f t="shared" si="6"/>
        <v>2</v>
      </c>
      <c r="Y35" s="56"/>
    </row>
    <row r="36" spans="1:30" ht="15.75" customHeight="1">
      <c r="A36" s="120" t="s">
        <v>88</v>
      </c>
      <c r="B36" s="66"/>
      <c r="C36" s="29"/>
      <c r="E36" s="27" t="s">
        <v>89</v>
      </c>
      <c r="F36" s="64"/>
      <c r="G36" s="67" t="s">
        <v>11</v>
      </c>
      <c r="H36" s="47">
        <f>COUNTIF(B7:R7,"*中*")</f>
        <v>1</v>
      </c>
      <c r="I36" s="47">
        <f>COUNTIF(B8:R8,"*中*")</f>
        <v>4</v>
      </c>
      <c r="J36" s="47">
        <f>COUNTIF($C$6:$R$6,"*中*")</f>
        <v>0</v>
      </c>
      <c r="K36" s="47">
        <f>COUNTIF(B17:R17,"*中*")</f>
        <v>3</v>
      </c>
      <c r="L36" s="47">
        <f>COUNTIF(B10:R13,"*中*")</f>
        <v>5</v>
      </c>
      <c r="M36" s="47">
        <f>COUNTIF(B18:R19,"*中*")</f>
        <v>0</v>
      </c>
      <c r="N36" s="47">
        <f>COUNTIF(B4:R4,"*中*")</f>
        <v>5</v>
      </c>
      <c r="O36" s="47">
        <f>COUNTIF(B15:R15,"*中*")</f>
        <v>0</v>
      </c>
      <c r="P36" s="48">
        <f t="shared" si="4"/>
        <v>18</v>
      </c>
      <c r="Q36" s="61"/>
      <c r="R36" s="63">
        <v>4</v>
      </c>
      <c r="S36" s="63">
        <v>4</v>
      </c>
      <c r="T36" s="63">
        <v>1</v>
      </c>
      <c r="U36" s="63">
        <v>0</v>
      </c>
      <c r="V36" s="63">
        <f t="shared" si="5"/>
        <v>9</v>
      </c>
      <c r="W36" s="54"/>
      <c r="X36" s="54">
        <f t="shared" si="6"/>
        <v>5</v>
      </c>
      <c r="Y36" s="56"/>
    </row>
    <row r="37" spans="1:30" ht="15.75" customHeight="1">
      <c r="A37" s="122" t="s">
        <v>90</v>
      </c>
      <c r="B37" s="57" t="s">
        <v>81</v>
      </c>
      <c r="C37" s="57"/>
      <c r="D37" s="57" t="s">
        <v>75</v>
      </c>
      <c r="E37" s="57"/>
      <c r="F37" s="57"/>
      <c r="G37" s="67" t="s">
        <v>8</v>
      </c>
      <c r="H37" s="47">
        <f>COUNTIF(B7:R7,"*蓁*")</f>
        <v>4</v>
      </c>
      <c r="I37" s="47">
        <f>COUNTIF(B8:R8,"*蓁*")</f>
        <v>4</v>
      </c>
      <c r="J37" s="47">
        <f>COUNTIF($C$6:$R$6,"*蓁*")</f>
        <v>0</v>
      </c>
      <c r="K37" s="47">
        <f>COUNTIF(B17:R17,"*蓁*")</f>
        <v>3</v>
      </c>
      <c r="L37" s="47">
        <f>COUNTIF(B10:R13,"*蓁*")</f>
        <v>3</v>
      </c>
      <c r="M37" s="47">
        <f>COUNTIF(B18:R19,"*蓁*")</f>
        <v>0</v>
      </c>
      <c r="N37" s="47">
        <f>COUNTIF(B4:R4,"*蓁*")</f>
        <v>0</v>
      </c>
      <c r="O37" s="47">
        <f>COUNTIF(B15:R15,"*蓁*")</f>
        <v>4</v>
      </c>
      <c r="P37" s="48">
        <f t="shared" si="4"/>
        <v>18</v>
      </c>
      <c r="Q37" s="61"/>
      <c r="R37" s="63">
        <v>4</v>
      </c>
      <c r="S37" s="63">
        <v>0</v>
      </c>
      <c r="T37" s="63">
        <v>1</v>
      </c>
      <c r="U37" s="63">
        <v>5</v>
      </c>
      <c r="V37" s="63">
        <f t="shared" si="5"/>
        <v>10</v>
      </c>
      <c r="W37" s="54"/>
      <c r="X37" s="54">
        <f t="shared" si="6"/>
        <v>5</v>
      </c>
      <c r="Y37" s="56"/>
    </row>
    <row r="38" spans="1:30" ht="15.75" customHeight="1">
      <c r="A38" s="26"/>
      <c r="B38" s="68"/>
      <c r="C38" s="68"/>
      <c r="D38" s="68"/>
      <c r="E38" s="64"/>
      <c r="F38" s="64"/>
      <c r="G38" s="60" t="s">
        <v>12</v>
      </c>
      <c r="H38" s="47">
        <f>COUNTIF(B7:R7,"*宇*")</f>
        <v>2</v>
      </c>
      <c r="I38" s="47">
        <f>COUNTIF(B8:R8,"*宇*")</f>
        <v>2</v>
      </c>
      <c r="J38" s="47">
        <f>COUNTIF($C$6:$R$6,"*宇*")</f>
        <v>0</v>
      </c>
      <c r="K38" s="47">
        <f>COUNTIF(B17:R17,"*宇*")</f>
        <v>2</v>
      </c>
      <c r="L38" s="47">
        <f>COUNTIF(B10:R13,"*宇*")</f>
        <v>2</v>
      </c>
      <c r="M38" s="47">
        <f>COUNTIF(B18:R19,"*宇*")</f>
        <v>0</v>
      </c>
      <c r="N38" s="47">
        <f>COUNTIF(B4:R4,"*宇*")</f>
        <v>3</v>
      </c>
      <c r="O38" s="47">
        <f>COUNTIF(B15:R15,"*宇*")</f>
        <v>5</v>
      </c>
      <c r="P38" s="48">
        <f t="shared" si="4"/>
        <v>16</v>
      </c>
      <c r="Q38" s="61"/>
      <c r="R38" s="69">
        <v>6</v>
      </c>
      <c r="S38" s="69">
        <v>2</v>
      </c>
      <c r="T38" s="69">
        <v>1</v>
      </c>
      <c r="U38" s="69">
        <v>4</v>
      </c>
      <c r="V38" s="63">
        <f t="shared" si="5"/>
        <v>13</v>
      </c>
      <c r="W38" s="54"/>
      <c r="X38" s="54">
        <f t="shared" si="6"/>
        <v>7</v>
      </c>
      <c r="Y38" s="56"/>
    </row>
    <row r="39" spans="1:30" ht="15.75" customHeight="1">
      <c r="A39" s="59"/>
      <c r="B39" s="57"/>
      <c r="C39" s="57"/>
      <c r="D39" s="57"/>
      <c r="E39" s="57"/>
      <c r="F39" s="59"/>
      <c r="G39" s="60" t="s">
        <v>9</v>
      </c>
      <c r="H39" s="47">
        <f>COUNTIF(B7:R7,"*瑜*")</f>
        <v>2</v>
      </c>
      <c r="I39" s="47">
        <f>COUNTIF(B8:R8,"*瑜*")</f>
        <v>1</v>
      </c>
      <c r="J39" s="47">
        <f>COUNTIF($C$6:$R$6,"*瑜*")</f>
        <v>0</v>
      </c>
      <c r="K39" s="47">
        <f>COUNTIF(B17:R17,"*瑜*")</f>
        <v>1</v>
      </c>
      <c r="L39" s="47">
        <f>COUNTIF(B10:R13,"*瑜*")</f>
        <v>3</v>
      </c>
      <c r="M39" s="47">
        <f>COUNTIF(B18:R19,"*瑜*")</f>
        <v>1</v>
      </c>
      <c r="N39" s="47">
        <f>COUNTIF(B4:R4,"*瑜*")</f>
        <v>5</v>
      </c>
      <c r="O39" s="47">
        <f>COUNTIF(B15:R15,"*瑜*")</f>
        <v>3</v>
      </c>
      <c r="P39" s="48">
        <f t="shared" si="4"/>
        <v>16</v>
      </c>
      <c r="Q39" s="61"/>
      <c r="R39" s="69">
        <v>5</v>
      </c>
      <c r="S39" s="69">
        <v>4</v>
      </c>
      <c r="T39" s="69">
        <v>0</v>
      </c>
      <c r="U39" s="69">
        <v>2</v>
      </c>
      <c r="V39" s="63">
        <f t="shared" si="5"/>
        <v>11</v>
      </c>
      <c r="W39" s="54"/>
      <c r="X39" s="54">
        <f t="shared" si="6"/>
        <v>5</v>
      </c>
      <c r="Y39" s="56"/>
    </row>
    <row r="40" spans="1:30" ht="15.75" customHeight="1">
      <c r="A40" s="26"/>
      <c r="B40" s="70"/>
      <c r="C40" s="26"/>
      <c r="D40" s="26"/>
      <c r="E40" s="26"/>
      <c r="F40" s="71"/>
      <c r="G40" s="60" t="s">
        <v>10</v>
      </c>
      <c r="H40" s="47">
        <f>COUNTIF(B7:R7,"*茜*")</f>
        <v>2</v>
      </c>
      <c r="I40" s="47">
        <f>COUNTIF(B8:R8,"*茜*")</f>
        <v>3</v>
      </c>
      <c r="J40" s="47">
        <f>COUNTIF($C$6:$R$6,"*茜*")</f>
        <v>0</v>
      </c>
      <c r="K40" s="47">
        <f>COUNTIF(B17:R17,"*茜*")</f>
        <v>3</v>
      </c>
      <c r="L40" s="47">
        <f>COUNTIF(B10:R13,"*茜*")</f>
        <v>1</v>
      </c>
      <c r="M40" s="47">
        <f>COUNTIF(B18:R19,"*茜*")</f>
        <v>0</v>
      </c>
      <c r="N40" s="47">
        <f>COUNTIF(B4:R4,"*茜*")</f>
        <v>0</v>
      </c>
      <c r="O40" s="47">
        <f>COUNTIF(B15:R15,"*茜*")</f>
        <v>7</v>
      </c>
      <c r="P40" s="48">
        <f t="shared" si="4"/>
        <v>16</v>
      </c>
      <c r="Q40" s="61"/>
      <c r="R40" s="72">
        <v>5</v>
      </c>
      <c r="S40" s="72">
        <v>0</v>
      </c>
      <c r="T40" s="72">
        <v>0</v>
      </c>
      <c r="U40" s="72">
        <v>6</v>
      </c>
      <c r="V40" s="63">
        <f t="shared" si="5"/>
        <v>11</v>
      </c>
      <c r="W40" s="54"/>
      <c r="X40" s="54">
        <f t="shared" si="6"/>
        <v>5</v>
      </c>
      <c r="Y40" s="56"/>
    </row>
    <row r="41" spans="1:30" ht="15.75" customHeight="1">
      <c r="A41" s="73"/>
      <c r="B41" s="74"/>
      <c r="C41" s="74"/>
      <c r="D41" s="75"/>
      <c r="E41" s="75"/>
      <c r="F41" s="76"/>
      <c r="G41" s="77"/>
      <c r="H41" s="46"/>
      <c r="I41" s="78"/>
      <c r="J41" s="46"/>
      <c r="K41" s="46"/>
      <c r="L41" s="46"/>
      <c r="M41" s="46"/>
      <c r="N41" s="46"/>
      <c r="O41" s="46"/>
      <c r="P41" s="46"/>
      <c r="Q41" s="79"/>
      <c r="R41" s="79"/>
      <c r="S41" s="54"/>
      <c r="T41" s="54"/>
      <c r="U41" s="56"/>
      <c r="V41" s="56"/>
      <c r="W41" s="56"/>
      <c r="X41" s="56"/>
      <c r="Y41" s="56"/>
    </row>
    <row r="42" spans="1:30" ht="15.75" customHeight="1">
      <c r="A42" s="80"/>
      <c r="B42" s="80"/>
      <c r="C42" s="80"/>
      <c r="D42" s="80"/>
      <c r="E42" s="80"/>
      <c r="F42" s="80"/>
      <c r="G42" s="81"/>
      <c r="H42" s="39" t="s">
        <v>51</v>
      </c>
      <c r="I42" s="39" t="s">
        <v>52</v>
      </c>
      <c r="J42" s="82" t="s">
        <v>53</v>
      </c>
      <c r="K42" s="48"/>
      <c r="L42" s="143"/>
      <c r="M42" s="134"/>
      <c r="N42" s="134"/>
      <c r="O42" s="133"/>
      <c r="P42" s="46"/>
      <c r="Q42" s="46"/>
      <c r="R42" s="46"/>
      <c r="S42" s="1"/>
      <c r="T42" s="1"/>
      <c r="U42" s="1"/>
      <c r="V42" s="1"/>
      <c r="W42" s="1"/>
      <c r="X42" s="1"/>
      <c r="Y42" s="1"/>
    </row>
    <row r="43" spans="1:30" ht="15.75" customHeight="1">
      <c r="A43" s="80"/>
      <c r="B43" s="80"/>
      <c r="C43" s="80"/>
      <c r="D43" s="80"/>
      <c r="E43" s="80"/>
      <c r="F43" s="80"/>
      <c r="G43" s="47"/>
      <c r="H43" s="27" t="s">
        <v>91</v>
      </c>
      <c r="I43" s="27">
        <v>6432</v>
      </c>
      <c r="J43" s="27">
        <v>114184</v>
      </c>
      <c r="K43" s="83" t="s">
        <v>54</v>
      </c>
      <c r="L43" s="128"/>
      <c r="M43" s="129"/>
      <c r="N43" s="129"/>
      <c r="O43" s="130"/>
      <c r="P43" s="46"/>
      <c r="Q43" s="46"/>
      <c r="R43" s="46"/>
      <c r="S43" s="1"/>
      <c r="T43" s="1"/>
      <c r="U43" s="1"/>
      <c r="V43" s="1"/>
      <c r="W43" s="1"/>
      <c r="X43" s="1"/>
      <c r="Y43" s="1"/>
    </row>
    <row r="44" spans="1:30" ht="15.75" customHeight="1">
      <c r="A44" s="80"/>
      <c r="B44" s="80"/>
      <c r="C44" s="80"/>
      <c r="D44" s="80"/>
      <c r="E44" s="80"/>
      <c r="F44" s="80"/>
      <c r="G44" s="47"/>
      <c r="H44" s="124" t="s">
        <v>92</v>
      </c>
      <c r="I44" s="124">
        <v>9627</v>
      </c>
      <c r="J44" s="124">
        <v>114182</v>
      </c>
      <c r="K44" s="84" t="s">
        <v>55</v>
      </c>
      <c r="L44" s="131" t="s">
        <v>79</v>
      </c>
      <c r="M44" s="132"/>
      <c r="N44" s="132"/>
      <c r="O44" s="133"/>
      <c r="P44" s="46"/>
      <c r="Q44" s="46"/>
      <c r="R44" s="46"/>
      <c r="S44" s="1"/>
      <c r="T44" s="1"/>
      <c r="U44" s="1"/>
      <c r="V44" s="1"/>
      <c r="W44" s="1"/>
      <c r="X44" s="1"/>
      <c r="Y44" s="1"/>
    </row>
    <row r="45" spans="1:30" ht="15.75" customHeight="1">
      <c r="A45" s="46"/>
      <c r="B45" s="46"/>
      <c r="C45" s="46"/>
      <c r="D45" s="46"/>
      <c r="E45" s="46"/>
      <c r="F45" s="46"/>
      <c r="G45" s="47"/>
      <c r="H45" s="47"/>
      <c r="I45" s="47"/>
      <c r="J45" s="47"/>
      <c r="K45" s="84" t="s">
        <v>56</v>
      </c>
      <c r="L45" s="131"/>
      <c r="M45" s="134"/>
      <c r="N45" s="134"/>
      <c r="O45" s="133"/>
      <c r="P45" s="46"/>
      <c r="Q45" s="46"/>
      <c r="R45" s="46"/>
      <c r="S45" s="1"/>
      <c r="T45" s="1"/>
      <c r="U45" s="1"/>
      <c r="V45" s="1"/>
      <c r="W45" s="1"/>
      <c r="X45" s="1"/>
      <c r="Y45" s="1"/>
    </row>
    <row r="46" spans="1:30" ht="15.75" customHeight="1">
      <c r="A46" s="46"/>
      <c r="B46" s="46"/>
      <c r="C46" s="46"/>
      <c r="D46" s="46"/>
      <c r="E46" s="46"/>
      <c r="F46" s="46"/>
      <c r="G46" s="85"/>
      <c r="H46" s="85"/>
      <c r="I46" s="85"/>
      <c r="J46" s="85"/>
      <c r="K46" s="27" t="s">
        <v>57</v>
      </c>
      <c r="L46" s="135" t="s">
        <v>76</v>
      </c>
      <c r="M46" s="132"/>
      <c r="N46" s="132"/>
      <c r="O46" s="133"/>
      <c r="P46" s="46"/>
      <c r="Q46" s="46"/>
      <c r="R46" s="46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5.75" customHeight="1">
      <c r="A47" s="46"/>
      <c r="B47" s="46"/>
      <c r="C47" s="46"/>
      <c r="D47" s="46"/>
      <c r="E47" s="46"/>
      <c r="F47" s="46"/>
      <c r="G47" s="86"/>
      <c r="H47" s="87"/>
      <c r="I47" s="88"/>
      <c r="J47" s="89"/>
      <c r="K47" s="87"/>
      <c r="L47" s="90"/>
      <c r="M47" s="91"/>
      <c r="N47" s="91"/>
      <c r="O47" s="91"/>
      <c r="P47" s="46"/>
      <c r="Q47" s="46"/>
      <c r="R47" s="46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5.75" customHeight="1">
      <c r="A48" s="46"/>
      <c r="B48" s="75"/>
      <c r="C48" s="75"/>
      <c r="D48" s="75"/>
      <c r="E48" s="75"/>
      <c r="F48" s="75"/>
      <c r="G48" s="77"/>
      <c r="H48" s="78"/>
      <c r="I48" s="92"/>
      <c r="J48" s="93"/>
      <c r="K48" s="78"/>
      <c r="L48" s="94"/>
      <c r="M48" s="76"/>
      <c r="N48" s="76"/>
      <c r="O48" s="76"/>
      <c r="P48" s="46"/>
      <c r="Q48" s="46"/>
      <c r="R48" s="46"/>
      <c r="S48" s="1"/>
      <c r="T48" s="1"/>
      <c r="U48" s="1"/>
      <c r="V48" s="1"/>
      <c r="W48" s="1"/>
      <c r="X48" s="1"/>
      <c r="Y48" s="1"/>
    </row>
    <row r="49" spans="1:25" ht="15.75" customHeight="1">
      <c r="A49" s="46" t="s">
        <v>58</v>
      </c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95"/>
      <c r="M49" s="95"/>
      <c r="N49" s="46"/>
      <c r="O49" s="46"/>
      <c r="P49" s="46"/>
      <c r="Q49" s="46"/>
      <c r="R49" s="46"/>
      <c r="S49" s="1"/>
      <c r="T49" s="1"/>
      <c r="U49" s="1"/>
      <c r="V49" s="1"/>
      <c r="W49" s="1"/>
      <c r="X49" s="1"/>
      <c r="Y49" s="1"/>
    </row>
    <row r="50" spans="1:25" ht="15.75" customHeight="1">
      <c r="A50" s="46"/>
      <c r="B50" s="48" t="s">
        <v>11</v>
      </c>
      <c r="C50" s="96">
        <f t="shared" ref="C50:Q50" si="7">COUNTIF(C4:C14,"*中*")</f>
        <v>1</v>
      </c>
      <c r="D50" s="96">
        <f t="shared" si="7"/>
        <v>1</v>
      </c>
      <c r="E50" s="96">
        <f t="shared" si="7"/>
        <v>2</v>
      </c>
      <c r="F50" s="96">
        <f t="shared" si="7"/>
        <v>1</v>
      </c>
      <c r="G50" s="96">
        <f t="shared" si="7"/>
        <v>1</v>
      </c>
      <c r="H50" s="96">
        <f t="shared" si="7"/>
        <v>0</v>
      </c>
      <c r="I50" s="96">
        <f t="shared" si="7"/>
        <v>1</v>
      </c>
      <c r="J50" s="96">
        <f t="shared" si="7"/>
        <v>1</v>
      </c>
      <c r="K50" s="96">
        <f t="shared" si="7"/>
        <v>1</v>
      </c>
      <c r="L50" s="96">
        <f t="shared" si="7"/>
        <v>2</v>
      </c>
      <c r="M50" s="96">
        <f t="shared" si="7"/>
        <v>1</v>
      </c>
      <c r="N50" s="96">
        <f t="shared" si="7"/>
        <v>0</v>
      </c>
      <c r="O50" s="96">
        <f t="shared" si="7"/>
        <v>1</v>
      </c>
      <c r="P50" s="96">
        <f t="shared" si="7"/>
        <v>0</v>
      </c>
      <c r="Q50" s="96">
        <f t="shared" si="7"/>
        <v>1</v>
      </c>
      <c r="R50" s="96" t="e">
        <f>COUNTIF(#REF!,"*中*")</f>
        <v>#REF!</v>
      </c>
      <c r="S50" s="1"/>
      <c r="T50" s="1"/>
      <c r="U50" s="1"/>
      <c r="V50" s="1"/>
      <c r="W50" s="1"/>
      <c r="X50" s="1"/>
      <c r="Y50" s="1"/>
    </row>
    <row r="51" spans="1:25" ht="15.75" customHeight="1">
      <c r="A51" s="46"/>
      <c r="B51" s="48" t="s">
        <v>8</v>
      </c>
      <c r="C51" s="46">
        <f t="shared" ref="C51:Q51" si="8">COUNTIF(C4:C14,"*蓁*")</f>
        <v>0</v>
      </c>
      <c r="D51" s="46">
        <f t="shared" si="8"/>
        <v>1</v>
      </c>
      <c r="E51" s="46">
        <f t="shared" si="8"/>
        <v>1</v>
      </c>
      <c r="F51" s="46">
        <f t="shared" si="8"/>
        <v>0</v>
      </c>
      <c r="G51" s="46">
        <f t="shared" si="8"/>
        <v>1</v>
      </c>
      <c r="H51" s="46">
        <f t="shared" si="8"/>
        <v>1</v>
      </c>
      <c r="I51" s="46">
        <f t="shared" si="8"/>
        <v>1</v>
      </c>
      <c r="J51" s="46">
        <f t="shared" si="8"/>
        <v>1</v>
      </c>
      <c r="K51" s="46">
        <f t="shared" si="8"/>
        <v>0</v>
      </c>
      <c r="L51" s="46">
        <f t="shared" si="8"/>
        <v>1</v>
      </c>
      <c r="M51" s="46">
        <f t="shared" si="8"/>
        <v>1</v>
      </c>
      <c r="N51" s="46">
        <f t="shared" si="8"/>
        <v>1</v>
      </c>
      <c r="O51" s="46">
        <f t="shared" si="8"/>
        <v>0</v>
      </c>
      <c r="P51" s="46">
        <f t="shared" si="8"/>
        <v>0</v>
      </c>
      <c r="Q51" s="46">
        <f t="shared" si="8"/>
        <v>1</v>
      </c>
      <c r="R51" s="46" t="e">
        <f>COUNTIF(#REF!,"*蓁*")</f>
        <v>#REF!</v>
      </c>
      <c r="S51" s="1"/>
      <c r="T51" s="1"/>
      <c r="U51" s="1"/>
      <c r="V51" s="1"/>
      <c r="W51" s="1"/>
      <c r="X51" s="1"/>
      <c r="Y51" s="1"/>
    </row>
    <row r="52" spans="1:25" ht="15.75" customHeight="1">
      <c r="A52" s="46"/>
      <c r="B52" s="47" t="s">
        <v>59</v>
      </c>
      <c r="C52" s="46">
        <f t="shared" ref="C52:Q52" si="9">COUNTIF(C4:C14,"*林*")</f>
        <v>1</v>
      </c>
      <c r="D52" s="46">
        <f t="shared" si="9"/>
        <v>0</v>
      </c>
      <c r="E52" s="46">
        <f t="shared" si="9"/>
        <v>1</v>
      </c>
      <c r="F52" s="46">
        <f t="shared" si="9"/>
        <v>0</v>
      </c>
      <c r="G52" s="46">
        <f t="shared" si="9"/>
        <v>1</v>
      </c>
      <c r="H52" s="46">
        <f t="shared" si="9"/>
        <v>1</v>
      </c>
      <c r="I52" s="46">
        <f t="shared" si="9"/>
        <v>0</v>
      </c>
      <c r="J52" s="46">
        <f t="shared" si="9"/>
        <v>1</v>
      </c>
      <c r="K52" s="46">
        <f t="shared" si="9"/>
        <v>1</v>
      </c>
      <c r="L52" s="46">
        <f t="shared" si="9"/>
        <v>0</v>
      </c>
      <c r="M52" s="46">
        <f t="shared" si="9"/>
        <v>0</v>
      </c>
      <c r="N52" s="46">
        <f t="shared" si="9"/>
        <v>0</v>
      </c>
      <c r="O52" s="46">
        <f t="shared" si="9"/>
        <v>0</v>
      </c>
      <c r="P52" s="46">
        <f t="shared" si="9"/>
        <v>0</v>
      </c>
      <c r="Q52" s="46">
        <f t="shared" si="9"/>
        <v>1</v>
      </c>
      <c r="R52" s="46" t="e">
        <f>COUNTIF(#REF!,"*思*")</f>
        <v>#REF!</v>
      </c>
      <c r="S52" s="1"/>
      <c r="T52" s="1"/>
      <c r="U52" s="1"/>
      <c r="V52" s="1"/>
      <c r="W52" s="1"/>
      <c r="X52" s="1"/>
      <c r="Y52" s="1"/>
    </row>
    <row r="53" spans="1:25" ht="15.75" customHeight="1">
      <c r="A53" s="46"/>
      <c r="B53" s="47" t="s">
        <v>12</v>
      </c>
      <c r="C53" s="46">
        <f t="shared" ref="C53:Q53" si="10">COUNTIF(C4:C14,"*宇*")</f>
        <v>1</v>
      </c>
      <c r="D53" s="46">
        <f t="shared" si="10"/>
        <v>0</v>
      </c>
      <c r="E53" s="46">
        <f t="shared" si="10"/>
        <v>1</v>
      </c>
      <c r="F53" s="46">
        <f t="shared" si="10"/>
        <v>0</v>
      </c>
      <c r="G53" s="46">
        <f t="shared" si="10"/>
        <v>1</v>
      </c>
      <c r="H53" s="46">
        <f t="shared" si="10"/>
        <v>0</v>
      </c>
      <c r="I53" s="46">
        <f t="shared" si="10"/>
        <v>1</v>
      </c>
      <c r="J53" s="46">
        <f t="shared" si="10"/>
        <v>1</v>
      </c>
      <c r="K53" s="46">
        <f t="shared" si="10"/>
        <v>1</v>
      </c>
      <c r="L53" s="46">
        <f t="shared" si="10"/>
        <v>0</v>
      </c>
      <c r="M53" s="46">
        <f t="shared" si="10"/>
        <v>1</v>
      </c>
      <c r="N53" s="46">
        <f t="shared" si="10"/>
        <v>1</v>
      </c>
      <c r="O53" s="46">
        <f t="shared" si="10"/>
        <v>0</v>
      </c>
      <c r="P53" s="46">
        <f t="shared" si="10"/>
        <v>0</v>
      </c>
      <c r="Q53" s="46">
        <f t="shared" si="10"/>
        <v>1</v>
      </c>
      <c r="R53" s="46" t="e">
        <f>COUNTIF(#REF!,"*宇*")</f>
        <v>#REF!</v>
      </c>
      <c r="S53" s="1"/>
      <c r="T53" s="1"/>
      <c r="U53" s="1"/>
      <c r="V53" s="1"/>
      <c r="W53" s="1"/>
      <c r="X53" s="1"/>
      <c r="Y53" s="1"/>
    </row>
    <row r="54" spans="1:25" ht="15.75" customHeight="1">
      <c r="A54" s="46"/>
      <c r="B54" s="47" t="s">
        <v>9</v>
      </c>
      <c r="C54" s="46">
        <f t="shared" ref="C54:Q54" si="11">COUNTIF(C4:C14,"*瑜*")</f>
        <v>1</v>
      </c>
      <c r="D54" s="46">
        <f t="shared" si="11"/>
        <v>1</v>
      </c>
      <c r="E54" s="46">
        <f t="shared" si="11"/>
        <v>1</v>
      </c>
      <c r="F54" s="46">
        <f t="shared" si="11"/>
        <v>1</v>
      </c>
      <c r="G54" s="46">
        <f t="shared" si="11"/>
        <v>0</v>
      </c>
      <c r="H54" s="46">
        <f t="shared" si="11"/>
        <v>0</v>
      </c>
      <c r="I54" s="46">
        <f t="shared" si="11"/>
        <v>0</v>
      </c>
      <c r="J54" s="46">
        <f t="shared" si="11"/>
        <v>1</v>
      </c>
      <c r="K54" s="46">
        <f t="shared" si="11"/>
        <v>1</v>
      </c>
      <c r="L54" s="46">
        <f t="shared" si="11"/>
        <v>1</v>
      </c>
      <c r="M54" s="46">
        <f t="shared" si="11"/>
        <v>1</v>
      </c>
      <c r="N54" s="46">
        <f t="shared" si="11"/>
        <v>1</v>
      </c>
      <c r="O54" s="46">
        <f t="shared" si="11"/>
        <v>0</v>
      </c>
      <c r="P54" s="46">
        <f t="shared" si="11"/>
        <v>0</v>
      </c>
      <c r="Q54" s="46">
        <f t="shared" si="11"/>
        <v>1</v>
      </c>
      <c r="R54" s="46" t="e">
        <f>COUNTIF(#REF!,"*瑜*")</f>
        <v>#REF!</v>
      </c>
      <c r="S54" s="1"/>
      <c r="T54" s="1"/>
      <c r="U54" s="1"/>
      <c r="V54" s="1"/>
      <c r="W54" s="1"/>
      <c r="X54" s="1"/>
      <c r="Y54" s="1"/>
    </row>
    <row r="55" spans="1:25" ht="15.75" customHeight="1">
      <c r="A55" s="46"/>
      <c r="B55" s="47" t="s">
        <v>10</v>
      </c>
      <c r="C55" s="46">
        <f t="shared" ref="C55:Q55" si="12">COUNTIF(C4:C14,"*茜*")</f>
        <v>1</v>
      </c>
      <c r="D55" s="46">
        <f t="shared" si="12"/>
        <v>1</v>
      </c>
      <c r="E55" s="46">
        <f t="shared" si="12"/>
        <v>0</v>
      </c>
      <c r="F55" s="46">
        <f t="shared" si="12"/>
        <v>1</v>
      </c>
      <c r="G55" s="46">
        <f t="shared" si="12"/>
        <v>0</v>
      </c>
      <c r="H55" s="46">
        <f t="shared" si="12"/>
        <v>0</v>
      </c>
      <c r="I55" s="46">
        <f t="shared" si="12"/>
        <v>0</v>
      </c>
      <c r="J55" s="46">
        <f t="shared" si="12"/>
        <v>1</v>
      </c>
      <c r="K55" s="46">
        <f t="shared" si="12"/>
        <v>1</v>
      </c>
      <c r="L55" s="46">
        <f t="shared" si="12"/>
        <v>0</v>
      </c>
      <c r="M55" s="46">
        <f t="shared" si="12"/>
        <v>0</v>
      </c>
      <c r="N55" s="46">
        <f t="shared" si="12"/>
        <v>0</v>
      </c>
      <c r="O55" s="46">
        <f t="shared" si="12"/>
        <v>0</v>
      </c>
      <c r="P55" s="46">
        <f t="shared" si="12"/>
        <v>0</v>
      </c>
      <c r="Q55" s="46">
        <f t="shared" si="12"/>
        <v>1</v>
      </c>
      <c r="R55" s="46" t="e">
        <f>COUNTIF(#REF!,"*茜*")</f>
        <v>#REF!</v>
      </c>
      <c r="S55" s="1"/>
      <c r="T55" s="1"/>
      <c r="U55" s="1"/>
      <c r="V55" s="1"/>
      <c r="W55" s="1"/>
      <c r="X55" s="1"/>
      <c r="Y55" s="1"/>
    </row>
    <row r="56" spans="1:25" ht="15.75" customHeight="1">
      <c r="A56" s="46"/>
      <c r="B56" s="47" t="s">
        <v>60</v>
      </c>
      <c r="C56" s="46">
        <f t="shared" ref="C56:Q56" si="13">COUNTIF(C4:C14,"*王*")</f>
        <v>0</v>
      </c>
      <c r="D56" s="46">
        <f t="shared" si="13"/>
        <v>0</v>
      </c>
      <c r="E56" s="46">
        <f t="shared" si="13"/>
        <v>0</v>
      </c>
      <c r="F56" s="46">
        <f t="shared" si="13"/>
        <v>0</v>
      </c>
      <c r="G56" s="46">
        <f t="shared" si="13"/>
        <v>0</v>
      </c>
      <c r="H56" s="46">
        <f t="shared" si="13"/>
        <v>0</v>
      </c>
      <c r="I56" s="46">
        <f t="shared" si="13"/>
        <v>0</v>
      </c>
      <c r="J56" s="46">
        <f t="shared" si="13"/>
        <v>0</v>
      </c>
      <c r="K56" s="46">
        <f t="shared" si="13"/>
        <v>0</v>
      </c>
      <c r="L56" s="46">
        <f t="shared" si="13"/>
        <v>0</v>
      </c>
      <c r="M56" s="46">
        <f t="shared" si="13"/>
        <v>0</v>
      </c>
      <c r="N56" s="46">
        <f t="shared" si="13"/>
        <v>0</v>
      </c>
      <c r="O56" s="46">
        <f t="shared" si="13"/>
        <v>0</v>
      </c>
      <c r="P56" s="46">
        <f t="shared" si="13"/>
        <v>0</v>
      </c>
      <c r="Q56" s="46">
        <f t="shared" si="13"/>
        <v>0</v>
      </c>
      <c r="R56" s="46" t="e">
        <f>COUNTIF(#REF!,"*王*")</f>
        <v>#REF!</v>
      </c>
      <c r="S56" s="1"/>
      <c r="T56" s="1"/>
      <c r="U56" s="1"/>
      <c r="V56" s="1"/>
      <c r="W56" s="1"/>
      <c r="X56" s="1"/>
      <c r="Y56" s="1"/>
    </row>
    <row r="57" spans="1:25" ht="15.75" customHeight="1">
      <c r="A57" s="46"/>
      <c r="B57" s="47" t="s">
        <v>50</v>
      </c>
      <c r="C57" s="46">
        <f t="shared" ref="C57:Q57" si="14">COUNTIF(C4:C14,"*傅*")</f>
        <v>0</v>
      </c>
      <c r="D57" s="46">
        <f t="shared" si="14"/>
        <v>0</v>
      </c>
      <c r="E57" s="46">
        <f t="shared" si="14"/>
        <v>0</v>
      </c>
      <c r="F57" s="46">
        <f t="shared" si="14"/>
        <v>0</v>
      </c>
      <c r="G57" s="46">
        <f t="shared" si="14"/>
        <v>0</v>
      </c>
      <c r="H57" s="46">
        <f t="shared" si="14"/>
        <v>0</v>
      </c>
      <c r="I57" s="46">
        <f t="shared" si="14"/>
        <v>0</v>
      </c>
      <c r="J57" s="46">
        <f t="shared" si="14"/>
        <v>0</v>
      </c>
      <c r="K57" s="46">
        <f t="shared" si="14"/>
        <v>0</v>
      </c>
      <c r="L57" s="46">
        <f t="shared" si="14"/>
        <v>0</v>
      </c>
      <c r="M57" s="46">
        <f t="shared" si="14"/>
        <v>0</v>
      </c>
      <c r="N57" s="46">
        <f t="shared" si="14"/>
        <v>0</v>
      </c>
      <c r="O57" s="46">
        <f t="shared" si="14"/>
        <v>0</v>
      </c>
      <c r="P57" s="46">
        <f t="shared" si="14"/>
        <v>0</v>
      </c>
      <c r="Q57" s="46">
        <f t="shared" si="14"/>
        <v>0</v>
      </c>
      <c r="R57" s="46" t="e">
        <f>COUNTIF(#REF!,"*傅*")</f>
        <v>#REF!</v>
      </c>
      <c r="S57" s="1"/>
      <c r="T57" s="1"/>
      <c r="U57" s="1"/>
      <c r="V57" s="1"/>
      <c r="W57" s="1"/>
      <c r="X57" s="1"/>
      <c r="Y57" s="1"/>
    </row>
    <row r="58" spans="1:25" ht="15.75" customHeight="1">
      <c r="A58" s="46"/>
      <c r="B58" s="12" t="s">
        <v>61</v>
      </c>
      <c r="C58" s="46">
        <f t="shared" ref="C58:Q58" si="15">COUNTIF(C4:C14,"*李*")</f>
        <v>0</v>
      </c>
      <c r="D58" s="46">
        <f t="shared" si="15"/>
        <v>0</v>
      </c>
      <c r="E58" s="46">
        <f t="shared" si="15"/>
        <v>0</v>
      </c>
      <c r="F58" s="46">
        <f t="shared" si="15"/>
        <v>0</v>
      </c>
      <c r="G58" s="46">
        <f t="shared" si="15"/>
        <v>0</v>
      </c>
      <c r="H58" s="46">
        <f t="shared" si="15"/>
        <v>0</v>
      </c>
      <c r="I58" s="46">
        <f t="shared" si="15"/>
        <v>0</v>
      </c>
      <c r="J58" s="46">
        <f t="shared" si="15"/>
        <v>0</v>
      </c>
      <c r="K58" s="46">
        <f t="shared" si="15"/>
        <v>0</v>
      </c>
      <c r="L58" s="46">
        <f t="shared" si="15"/>
        <v>0</v>
      </c>
      <c r="M58" s="46">
        <f t="shared" si="15"/>
        <v>0</v>
      </c>
      <c r="N58" s="46">
        <f t="shared" si="15"/>
        <v>0</v>
      </c>
      <c r="O58" s="46">
        <f t="shared" si="15"/>
        <v>0</v>
      </c>
      <c r="P58" s="46">
        <f t="shared" si="15"/>
        <v>0</v>
      </c>
      <c r="Q58" s="46">
        <f t="shared" si="15"/>
        <v>0</v>
      </c>
      <c r="R58" s="46" t="e">
        <f>COUNTIF(#REF!,"*李*")</f>
        <v>#REF!</v>
      </c>
      <c r="S58" s="1"/>
      <c r="T58" s="1"/>
      <c r="U58" s="1"/>
      <c r="V58" s="1"/>
      <c r="W58" s="1"/>
      <c r="X58" s="1"/>
      <c r="Y58" s="1"/>
    </row>
    <row r="59" spans="1:25" ht="15.75" customHeight="1">
      <c r="A59" s="46"/>
      <c r="B59" s="12" t="s">
        <v>62</v>
      </c>
      <c r="C59" s="46">
        <f t="shared" ref="C59:Q59" si="16">COUNTIF(C4:C14,"*高*")</f>
        <v>0</v>
      </c>
      <c r="D59" s="46">
        <f t="shared" si="16"/>
        <v>0</v>
      </c>
      <c r="E59" s="46">
        <f t="shared" si="16"/>
        <v>0</v>
      </c>
      <c r="F59" s="46">
        <f t="shared" si="16"/>
        <v>0</v>
      </c>
      <c r="G59" s="46">
        <f t="shared" si="16"/>
        <v>0</v>
      </c>
      <c r="H59" s="46">
        <f t="shared" si="16"/>
        <v>0</v>
      </c>
      <c r="I59" s="46">
        <f t="shared" si="16"/>
        <v>0</v>
      </c>
      <c r="J59" s="46">
        <f t="shared" si="16"/>
        <v>0</v>
      </c>
      <c r="K59" s="46">
        <f t="shared" si="16"/>
        <v>0</v>
      </c>
      <c r="L59" s="46">
        <f t="shared" si="16"/>
        <v>0</v>
      </c>
      <c r="M59" s="46">
        <f t="shared" si="16"/>
        <v>0</v>
      </c>
      <c r="N59" s="46">
        <f t="shared" si="16"/>
        <v>0</v>
      </c>
      <c r="O59" s="46">
        <f t="shared" si="16"/>
        <v>0</v>
      </c>
      <c r="P59" s="46">
        <f t="shared" si="16"/>
        <v>0</v>
      </c>
      <c r="Q59" s="46">
        <f t="shared" si="16"/>
        <v>0</v>
      </c>
      <c r="R59" s="46" t="e">
        <f>COUNTIF(#REF!,"*高*")</f>
        <v>#REF!</v>
      </c>
      <c r="S59" s="1"/>
      <c r="T59" s="1"/>
      <c r="U59" s="1"/>
      <c r="V59" s="1"/>
      <c r="W59" s="1"/>
      <c r="X59" s="1"/>
      <c r="Y59" s="1"/>
    </row>
    <row r="60" spans="1:25" ht="15.75" customHeight="1">
      <c r="A60" s="46"/>
      <c r="B60" s="97" t="s">
        <v>63</v>
      </c>
      <c r="C60" s="98">
        <f t="shared" ref="C60:Q60" si="17">COUNTIF(C4:C14,"*偉*")</f>
        <v>0</v>
      </c>
      <c r="D60" s="98">
        <f t="shared" si="17"/>
        <v>0</v>
      </c>
      <c r="E60" s="98">
        <f t="shared" si="17"/>
        <v>0</v>
      </c>
      <c r="F60" s="98">
        <f t="shared" si="17"/>
        <v>0</v>
      </c>
      <c r="G60" s="98">
        <f t="shared" si="17"/>
        <v>0</v>
      </c>
      <c r="H60" s="98">
        <f t="shared" si="17"/>
        <v>0</v>
      </c>
      <c r="I60" s="98">
        <f t="shared" si="17"/>
        <v>0</v>
      </c>
      <c r="J60" s="98">
        <f t="shared" si="17"/>
        <v>0</v>
      </c>
      <c r="K60" s="98">
        <f t="shared" si="17"/>
        <v>0</v>
      </c>
      <c r="L60" s="98">
        <f t="shared" si="17"/>
        <v>0</v>
      </c>
      <c r="M60" s="98">
        <f t="shared" si="17"/>
        <v>0</v>
      </c>
      <c r="N60" s="98">
        <f t="shared" si="17"/>
        <v>0</v>
      </c>
      <c r="O60" s="98">
        <f t="shared" si="17"/>
        <v>0</v>
      </c>
      <c r="P60" s="98">
        <f t="shared" si="17"/>
        <v>0</v>
      </c>
      <c r="Q60" s="98">
        <f t="shared" si="17"/>
        <v>0</v>
      </c>
      <c r="R60" s="98" t="e">
        <f>COUNTIF(#REF!,"*偉*")</f>
        <v>#REF!</v>
      </c>
      <c r="S60" s="1"/>
      <c r="T60" s="1"/>
      <c r="U60" s="1"/>
      <c r="V60" s="1"/>
      <c r="W60" s="1"/>
      <c r="X60" s="1"/>
      <c r="Y60" s="1"/>
    </row>
    <row r="61" spans="1:25" ht="15.75" customHeight="1">
      <c r="A61" s="46"/>
      <c r="B61" s="68" t="s">
        <v>11</v>
      </c>
      <c r="C61" s="46">
        <f t="shared" ref="C61:J61" si="18">COUNTIF(C15:C27,"*宇*")</f>
        <v>1</v>
      </c>
      <c r="D61" s="46">
        <f t="shared" si="18"/>
        <v>1</v>
      </c>
      <c r="E61" s="46">
        <f t="shared" si="18"/>
        <v>0</v>
      </c>
      <c r="F61" s="46">
        <f t="shared" si="18"/>
        <v>1</v>
      </c>
      <c r="G61" s="46">
        <f t="shared" si="18"/>
        <v>0</v>
      </c>
      <c r="H61" s="46">
        <f t="shared" si="18"/>
        <v>0</v>
      </c>
      <c r="I61" s="46">
        <f t="shared" si="18"/>
        <v>0</v>
      </c>
      <c r="J61" s="46">
        <f t="shared" si="18"/>
        <v>0</v>
      </c>
      <c r="K61" s="46">
        <f t="shared" ref="K61:L61" si="19">COUNTIF(K15:K26,"*宇*")</f>
        <v>1</v>
      </c>
      <c r="L61" s="46">
        <f t="shared" si="19"/>
        <v>1</v>
      </c>
      <c r="M61" s="46">
        <f t="shared" ref="M61:Q61" si="20">COUNTIF(M15:M27,"*宇*")</f>
        <v>1</v>
      </c>
      <c r="N61" s="46">
        <f t="shared" si="20"/>
        <v>0</v>
      </c>
      <c r="O61" s="46">
        <f t="shared" si="20"/>
        <v>0</v>
      </c>
      <c r="P61" s="46">
        <f t="shared" si="20"/>
        <v>0</v>
      </c>
      <c r="Q61" s="46">
        <f t="shared" si="20"/>
        <v>0</v>
      </c>
      <c r="R61" s="46" t="e">
        <f>COUNTIF(#REF!,"*宇*")</f>
        <v>#REF!</v>
      </c>
      <c r="S61" s="1"/>
      <c r="T61" s="1"/>
      <c r="U61" s="1"/>
      <c r="V61" s="1"/>
      <c r="W61" s="1"/>
      <c r="X61" s="1"/>
      <c r="Y61" s="1"/>
    </row>
    <row r="62" spans="1:25" ht="15.75" customHeight="1">
      <c r="A62" s="46"/>
      <c r="B62" s="48" t="s">
        <v>8</v>
      </c>
      <c r="C62" s="46">
        <f t="shared" ref="C62:J62" si="21">COUNTIF(C15:C27,"*茜*")</f>
        <v>1</v>
      </c>
      <c r="D62" s="46">
        <f t="shared" si="21"/>
        <v>1</v>
      </c>
      <c r="E62" s="46">
        <f t="shared" si="21"/>
        <v>1</v>
      </c>
      <c r="F62" s="46">
        <f t="shared" si="21"/>
        <v>1</v>
      </c>
      <c r="G62" s="46">
        <f t="shared" si="21"/>
        <v>1</v>
      </c>
      <c r="H62" s="46">
        <f t="shared" si="21"/>
        <v>0</v>
      </c>
      <c r="I62" s="46">
        <f t="shared" si="21"/>
        <v>0</v>
      </c>
      <c r="J62" s="46">
        <f t="shared" si="21"/>
        <v>1</v>
      </c>
      <c r="K62" s="46">
        <f t="shared" ref="K62:L62" si="22">COUNTIF(K15:K26,"*茜*")</f>
        <v>0</v>
      </c>
      <c r="L62" s="46">
        <f t="shared" si="22"/>
        <v>1</v>
      </c>
      <c r="M62" s="46">
        <f t="shared" ref="M62:Q62" si="23">COUNTIF(M15:M27,"*茜*")</f>
        <v>1</v>
      </c>
      <c r="N62" s="46">
        <f t="shared" si="23"/>
        <v>0</v>
      </c>
      <c r="O62" s="46">
        <f t="shared" si="23"/>
        <v>0</v>
      </c>
      <c r="P62" s="46">
        <f t="shared" si="23"/>
        <v>0</v>
      </c>
      <c r="Q62" s="46">
        <f t="shared" si="23"/>
        <v>1</v>
      </c>
      <c r="R62" s="46" t="e">
        <f>COUNTIF(#REF!,"*茜*")</f>
        <v>#REF!</v>
      </c>
      <c r="S62" s="1"/>
      <c r="T62" s="1"/>
      <c r="U62" s="1"/>
      <c r="V62" s="1"/>
      <c r="W62" s="1"/>
      <c r="X62" s="1"/>
      <c r="Y62" s="1"/>
    </row>
    <row r="63" spans="1:25" ht="15.75" customHeight="1">
      <c r="A63" s="46"/>
      <c r="B63" s="47" t="s">
        <v>64</v>
      </c>
      <c r="C63" s="46">
        <f>COUNTIF(C15:C27,"*承")</f>
        <v>0</v>
      </c>
      <c r="D63" s="46">
        <f t="shared" ref="D63:J63" si="24">COUNTIF(D15:D27,"*承*")</f>
        <v>0</v>
      </c>
      <c r="E63" s="46">
        <f t="shared" si="24"/>
        <v>0</v>
      </c>
      <c r="F63" s="46">
        <f t="shared" si="24"/>
        <v>0</v>
      </c>
      <c r="G63" s="46">
        <f t="shared" si="24"/>
        <v>0</v>
      </c>
      <c r="H63" s="46">
        <f t="shared" si="24"/>
        <v>0</v>
      </c>
      <c r="I63" s="46">
        <f t="shared" si="24"/>
        <v>0</v>
      </c>
      <c r="J63" s="46">
        <f t="shared" si="24"/>
        <v>0</v>
      </c>
      <c r="K63" s="46">
        <f t="shared" ref="K63:L63" si="25">COUNTIF(K15:K26,"*承*")</f>
        <v>0</v>
      </c>
      <c r="L63" s="46">
        <f t="shared" si="25"/>
        <v>0</v>
      </c>
      <c r="M63" s="46">
        <f t="shared" ref="M63:Q63" si="26">COUNTIF(M15:M27,"*承*")</f>
        <v>0</v>
      </c>
      <c r="N63" s="46">
        <f t="shared" si="26"/>
        <v>0</v>
      </c>
      <c r="O63" s="46">
        <f t="shared" si="26"/>
        <v>0</v>
      </c>
      <c r="P63" s="46">
        <f t="shared" si="26"/>
        <v>0</v>
      </c>
      <c r="Q63" s="46">
        <f t="shared" si="26"/>
        <v>0</v>
      </c>
      <c r="R63" s="46" t="e">
        <f>COUNTIF(#REF!,"*承*")</f>
        <v>#REF!</v>
      </c>
      <c r="S63" s="1"/>
      <c r="T63" s="1"/>
      <c r="U63" s="1"/>
      <c r="V63" s="1"/>
      <c r="W63" s="1"/>
      <c r="X63" s="1"/>
      <c r="Y63" s="1"/>
    </row>
    <row r="64" spans="1:25" ht="15.75" customHeight="1">
      <c r="A64" s="46"/>
      <c r="B64" s="47" t="s">
        <v>12</v>
      </c>
      <c r="C64" s="46">
        <f t="shared" ref="C64:J64" si="27">COUNTIF(C15:C27,"*曾*")</f>
        <v>0</v>
      </c>
      <c r="D64" s="46">
        <f t="shared" si="27"/>
        <v>1</v>
      </c>
      <c r="E64" s="46">
        <f t="shared" si="27"/>
        <v>1</v>
      </c>
      <c r="F64" s="46">
        <f t="shared" si="27"/>
        <v>0</v>
      </c>
      <c r="G64" s="46">
        <f t="shared" si="27"/>
        <v>0</v>
      </c>
      <c r="H64" s="46">
        <f t="shared" si="27"/>
        <v>0</v>
      </c>
      <c r="I64" s="46">
        <f t="shared" si="27"/>
        <v>0</v>
      </c>
      <c r="J64" s="46">
        <f t="shared" si="27"/>
        <v>0</v>
      </c>
      <c r="K64" s="46">
        <f t="shared" ref="K64:L64" si="28">COUNTIF(K15:K26,"*曾*")</f>
        <v>1</v>
      </c>
      <c r="L64" s="46">
        <f t="shared" si="28"/>
        <v>1</v>
      </c>
      <c r="M64" s="46">
        <f t="shared" ref="M64:Q64" si="29">COUNTIF(M15:M27,"*曾*")</f>
        <v>0</v>
      </c>
      <c r="N64" s="46">
        <f t="shared" si="29"/>
        <v>0</v>
      </c>
      <c r="O64" s="46">
        <f t="shared" si="29"/>
        <v>0</v>
      </c>
      <c r="P64" s="46">
        <f t="shared" si="29"/>
        <v>0</v>
      </c>
      <c r="Q64" s="46">
        <f t="shared" si="29"/>
        <v>0</v>
      </c>
      <c r="R64" s="46" t="e">
        <f>COUNTIF(#REF!,"*曾*")</f>
        <v>#REF!</v>
      </c>
      <c r="S64" s="1"/>
      <c r="T64" s="1"/>
      <c r="U64" s="1"/>
      <c r="V64" s="1"/>
      <c r="W64" s="1"/>
      <c r="X64" s="1"/>
      <c r="Y64" s="1"/>
    </row>
    <row r="65" spans="1:25" ht="15.75" customHeight="1">
      <c r="A65" s="46"/>
      <c r="B65" s="47" t="s">
        <v>9</v>
      </c>
      <c r="C65" s="46">
        <f t="shared" ref="C65:J65" si="30">COUNTIF(C15:C27,"*高*")</f>
        <v>0</v>
      </c>
      <c r="D65" s="46">
        <f t="shared" si="30"/>
        <v>0</v>
      </c>
      <c r="E65" s="46">
        <f t="shared" si="30"/>
        <v>0</v>
      </c>
      <c r="F65" s="46">
        <f t="shared" si="30"/>
        <v>0</v>
      </c>
      <c r="G65" s="46">
        <f t="shared" si="30"/>
        <v>0</v>
      </c>
      <c r="H65" s="46">
        <f t="shared" si="30"/>
        <v>0</v>
      </c>
      <c r="I65" s="46">
        <f t="shared" si="30"/>
        <v>0</v>
      </c>
      <c r="J65" s="46">
        <f t="shared" si="30"/>
        <v>0</v>
      </c>
      <c r="K65" s="46">
        <f t="shared" ref="K65:L65" si="31">COUNTIF(K15:K26,"*高*")</f>
        <v>0</v>
      </c>
      <c r="L65" s="46">
        <f t="shared" si="31"/>
        <v>0</v>
      </c>
      <c r="M65" s="46">
        <f t="shared" ref="M65:Q65" si="32">COUNTIF(M15:M27,"*高*")</f>
        <v>0</v>
      </c>
      <c r="N65" s="46">
        <f t="shared" si="32"/>
        <v>0</v>
      </c>
      <c r="O65" s="46">
        <f t="shared" si="32"/>
        <v>0</v>
      </c>
      <c r="P65" s="46">
        <f t="shared" si="32"/>
        <v>0</v>
      </c>
      <c r="Q65" s="46">
        <f t="shared" si="32"/>
        <v>0</v>
      </c>
      <c r="R65" s="46" t="e">
        <f>COUNTIF(#REF!,"*高*")</f>
        <v>#REF!</v>
      </c>
      <c r="S65" s="1"/>
      <c r="T65" s="1"/>
      <c r="U65" s="1"/>
      <c r="V65" s="1"/>
      <c r="W65" s="1"/>
      <c r="X65" s="1"/>
      <c r="Y65" s="1"/>
    </row>
    <row r="66" spans="1:25" ht="15.75" customHeight="1">
      <c r="A66" s="46"/>
      <c r="B66" s="47" t="s">
        <v>10</v>
      </c>
      <c r="C66" s="46">
        <f t="shared" ref="C66:J66" si="33">COUNTIF(C15:C27,"*偉*")</f>
        <v>0</v>
      </c>
      <c r="D66" s="46">
        <f t="shared" si="33"/>
        <v>0</v>
      </c>
      <c r="E66" s="46">
        <f t="shared" si="33"/>
        <v>0</v>
      </c>
      <c r="F66" s="46">
        <f t="shared" si="33"/>
        <v>0</v>
      </c>
      <c r="G66" s="46">
        <f t="shared" si="33"/>
        <v>0</v>
      </c>
      <c r="H66" s="46">
        <f t="shared" si="33"/>
        <v>0</v>
      </c>
      <c r="I66" s="46">
        <f t="shared" si="33"/>
        <v>0</v>
      </c>
      <c r="J66" s="46">
        <f t="shared" si="33"/>
        <v>0</v>
      </c>
      <c r="K66" s="46">
        <f t="shared" ref="K66:L66" si="34">COUNTIF(K15:K26,"*偉*")</f>
        <v>0</v>
      </c>
      <c r="L66" s="46">
        <f t="shared" si="34"/>
        <v>0</v>
      </c>
      <c r="M66" s="46">
        <f t="shared" ref="M66:Q66" si="35">COUNTIF(M15:M27,"*偉*")</f>
        <v>0</v>
      </c>
      <c r="N66" s="46">
        <f t="shared" si="35"/>
        <v>0</v>
      </c>
      <c r="O66" s="46">
        <f t="shared" si="35"/>
        <v>0</v>
      </c>
      <c r="P66" s="46">
        <f t="shared" si="35"/>
        <v>0</v>
      </c>
      <c r="Q66" s="46">
        <f t="shared" si="35"/>
        <v>0</v>
      </c>
      <c r="R66" s="46" t="e">
        <f>COUNTIF(#REF!,"*偉*")</f>
        <v>#REF!</v>
      </c>
      <c r="S66" s="1"/>
      <c r="T66" s="1"/>
      <c r="U66" s="1"/>
      <c r="V66" s="1"/>
      <c r="W66" s="1"/>
      <c r="X66" s="1"/>
      <c r="Y66" s="1"/>
    </row>
    <row r="67" spans="1:25" ht="15.75" customHeight="1">
      <c r="A67" s="46"/>
      <c r="B67" s="47" t="s">
        <v>60</v>
      </c>
      <c r="C67" s="46">
        <f t="shared" ref="C67:J67" si="36">COUNTIF(C15:C27,"*傅*")</f>
        <v>0</v>
      </c>
      <c r="D67" s="46">
        <f t="shared" si="36"/>
        <v>0</v>
      </c>
      <c r="E67" s="46">
        <f t="shared" si="36"/>
        <v>0</v>
      </c>
      <c r="F67" s="46">
        <f t="shared" si="36"/>
        <v>0</v>
      </c>
      <c r="G67" s="46">
        <f t="shared" si="36"/>
        <v>0</v>
      </c>
      <c r="H67" s="46">
        <f t="shared" si="36"/>
        <v>0</v>
      </c>
      <c r="I67" s="46">
        <f t="shared" si="36"/>
        <v>0</v>
      </c>
      <c r="J67" s="46">
        <f t="shared" si="36"/>
        <v>0</v>
      </c>
      <c r="K67" s="46">
        <f t="shared" ref="K67:L67" si="37">COUNTIF(K15:K26,"*傅*")</f>
        <v>0</v>
      </c>
      <c r="L67" s="46">
        <f t="shared" si="37"/>
        <v>0</v>
      </c>
      <c r="M67" s="46">
        <f t="shared" ref="M67:Q67" si="38">COUNTIF(M15:M27,"*傅*")</f>
        <v>0</v>
      </c>
      <c r="N67" s="46">
        <f t="shared" si="38"/>
        <v>0</v>
      </c>
      <c r="O67" s="46">
        <f t="shared" si="38"/>
        <v>0</v>
      </c>
      <c r="P67" s="46">
        <f t="shared" si="38"/>
        <v>0</v>
      </c>
      <c r="Q67" s="46">
        <f t="shared" si="38"/>
        <v>0</v>
      </c>
      <c r="R67" s="46" t="e">
        <f>COUNTIF(#REF!,"*傅*")</f>
        <v>#REF!</v>
      </c>
      <c r="S67" s="1"/>
      <c r="T67" s="1"/>
      <c r="U67" s="1"/>
      <c r="V67" s="1"/>
      <c r="W67" s="1"/>
      <c r="X67" s="1"/>
      <c r="Y67" s="1"/>
    </row>
    <row r="68" spans="1:25" ht="15.75" customHeight="1">
      <c r="A68" s="1"/>
      <c r="B68" s="47" t="s">
        <v>50</v>
      </c>
      <c r="C68" s="46">
        <f t="shared" ref="C68:Q68" si="39">COUNTIF(C15:C27,"*瑜*")</f>
        <v>1</v>
      </c>
      <c r="D68" s="46">
        <f t="shared" si="39"/>
        <v>0</v>
      </c>
      <c r="E68" s="46">
        <f t="shared" si="39"/>
        <v>0</v>
      </c>
      <c r="F68" s="46">
        <f t="shared" si="39"/>
        <v>0</v>
      </c>
      <c r="G68" s="46">
        <f t="shared" si="39"/>
        <v>0</v>
      </c>
      <c r="H68" s="46">
        <f t="shared" si="39"/>
        <v>0</v>
      </c>
      <c r="I68" s="46">
        <f t="shared" si="39"/>
        <v>0</v>
      </c>
      <c r="J68" s="46">
        <f t="shared" si="39"/>
        <v>1</v>
      </c>
      <c r="K68" s="46">
        <f t="shared" si="39"/>
        <v>0</v>
      </c>
      <c r="L68" s="46">
        <f t="shared" si="39"/>
        <v>1</v>
      </c>
      <c r="M68" s="46">
        <f t="shared" si="39"/>
        <v>0</v>
      </c>
      <c r="N68" s="46">
        <f t="shared" si="39"/>
        <v>1</v>
      </c>
      <c r="O68" s="46">
        <f t="shared" si="39"/>
        <v>0</v>
      </c>
      <c r="P68" s="46">
        <f t="shared" si="39"/>
        <v>0</v>
      </c>
      <c r="Q68" s="46">
        <f t="shared" si="39"/>
        <v>1</v>
      </c>
      <c r="R68" s="46" t="e">
        <f>COUNTIF(#REF!,"*瑜*")</f>
        <v>#REF!</v>
      </c>
      <c r="S68" s="1"/>
      <c r="T68" s="1"/>
      <c r="U68" s="1"/>
      <c r="V68" s="1"/>
      <c r="W68" s="1"/>
      <c r="X68" s="1"/>
      <c r="Y68" s="1"/>
    </row>
    <row r="69" spans="1:25" ht="15.75" customHeight="1">
      <c r="A69" s="1"/>
      <c r="B69" s="12" t="s">
        <v>61</v>
      </c>
      <c r="C69" s="46">
        <f t="shared" ref="C69:J69" si="40">COUNTIF(C15:C27,"*李*")</f>
        <v>0</v>
      </c>
      <c r="D69" s="46">
        <f t="shared" si="40"/>
        <v>0</v>
      </c>
      <c r="E69" s="46">
        <f t="shared" si="40"/>
        <v>0</v>
      </c>
      <c r="F69" s="46">
        <f t="shared" si="40"/>
        <v>0</v>
      </c>
      <c r="G69" s="46">
        <f t="shared" si="40"/>
        <v>0</v>
      </c>
      <c r="H69" s="46">
        <f t="shared" si="40"/>
        <v>0</v>
      </c>
      <c r="I69" s="46">
        <f t="shared" si="40"/>
        <v>0</v>
      </c>
      <c r="J69" s="46">
        <f t="shared" si="40"/>
        <v>0</v>
      </c>
      <c r="K69" s="46">
        <f t="shared" ref="K69:L69" si="41">COUNTIF(K15:K26,"*李*")</f>
        <v>0</v>
      </c>
      <c r="L69" s="46">
        <f t="shared" si="41"/>
        <v>0</v>
      </c>
      <c r="M69" s="46">
        <f t="shared" ref="M69:Q69" si="42">COUNTIF(M15:M27,"*李*")</f>
        <v>0</v>
      </c>
      <c r="N69" s="46">
        <f t="shared" si="42"/>
        <v>0</v>
      </c>
      <c r="O69" s="46">
        <f t="shared" si="42"/>
        <v>0</v>
      </c>
      <c r="P69" s="46">
        <f t="shared" si="42"/>
        <v>0</v>
      </c>
      <c r="Q69" s="46">
        <f t="shared" si="42"/>
        <v>0</v>
      </c>
      <c r="R69" s="46" t="e">
        <f>COUNTIF(#REF!,"*李*")</f>
        <v>#REF!</v>
      </c>
      <c r="S69" s="1"/>
      <c r="T69" s="1"/>
      <c r="U69" s="1"/>
      <c r="V69" s="1"/>
      <c r="W69" s="1"/>
      <c r="X69" s="1"/>
      <c r="Y69" s="1"/>
    </row>
    <row r="70" spans="1:25" ht="15.75" customHeight="1">
      <c r="A70" s="1"/>
      <c r="B70" s="12" t="s">
        <v>62</v>
      </c>
      <c r="C70" s="99">
        <f t="shared" ref="C70:J70" si="43">COUNTIF(C15:C27,"*王*")</f>
        <v>0</v>
      </c>
      <c r="D70" s="46">
        <f t="shared" si="43"/>
        <v>0</v>
      </c>
      <c r="E70" s="46">
        <f t="shared" si="43"/>
        <v>0</v>
      </c>
      <c r="F70" s="46">
        <f t="shared" si="43"/>
        <v>0</v>
      </c>
      <c r="G70" s="46">
        <f t="shared" si="43"/>
        <v>0</v>
      </c>
      <c r="H70" s="46">
        <f t="shared" si="43"/>
        <v>0</v>
      </c>
      <c r="I70" s="46">
        <f t="shared" si="43"/>
        <v>0</v>
      </c>
      <c r="J70" s="46">
        <f t="shared" si="43"/>
        <v>0</v>
      </c>
      <c r="K70" s="46">
        <f t="shared" ref="K70:L70" si="44">COUNTIF(K15:K26,"*王*")</f>
        <v>0</v>
      </c>
      <c r="L70" s="46">
        <f t="shared" si="44"/>
        <v>0</v>
      </c>
      <c r="M70" s="46">
        <f t="shared" ref="M70:Q70" si="45">COUNTIF(M15:M27,"*王*")</f>
        <v>0</v>
      </c>
      <c r="N70" s="46">
        <f t="shared" si="45"/>
        <v>0</v>
      </c>
      <c r="O70" s="46">
        <f t="shared" si="45"/>
        <v>0</v>
      </c>
      <c r="P70" s="46">
        <f t="shared" si="45"/>
        <v>0</v>
      </c>
      <c r="Q70" s="46">
        <f t="shared" si="45"/>
        <v>0</v>
      </c>
      <c r="R70" s="46" t="e">
        <f>COUNTIF(#REF!,"*王*")</f>
        <v>#REF!</v>
      </c>
      <c r="S70" s="1"/>
      <c r="T70" s="1"/>
      <c r="U70" s="1"/>
      <c r="V70" s="1"/>
      <c r="W70" s="1"/>
      <c r="X70" s="1"/>
      <c r="Y70" s="1"/>
    </row>
    <row r="71" spans="1:25" ht="15.75" customHeight="1">
      <c r="A71" s="1"/>
      <c r="B71" s="12" t="s">
        <v>63</v>
      </c>
      <c r="C71" s="100">
        <f>COUNTIF(C17:C28,"*王*")</f>
        <v>0</v>
      </c>
      <c r="D71" s="100">
        <f t="shared" ref="D71:J71" si="46">COUNTIF(D16:D28,"*王*")</f>
        <v>0</v>
      </c>
      <c r="E71" s="100">
        <f t="shared" si="46"/>
        <v>0</v>
      </c>
      <c r="F71" s="100">
        <f t="shared" si="46"/>
        <v>0</v>
      </c>
      <c r="G71" s="100">
        <f t="shared" si="46"/>
        <v>0</v>
      </c>
      <c r="H71" s="100">
        <f t="shared" si="46"/>
        <v>0</v>
      </c>
      <c r="I71" s="100">
        <f t="shared" si="46"/>
        <v>0</v>
      </c>
      <c r="J71" s="100">
        <f t="shared" si="46"/>
        <v>0</v>
      </c>
      <c r="K71" s="100">
        <f t="shared" ref="K71:L71" si="47">COUNTIF(K16:K27,"*王*")</f>
        <v>0</v>
      </c>
      <c r="L71" s="100">
        <f t="shared" si="47"/>
        <v>0</v>
      </c>
      <c r="M71" s="100">
        <f t="shared" ref="M71:Q71" si="48">COUNTIF(M16:M28,"*王*")</f>
        <v>0</v>
      </c>
      <c r="N71" s="100">
        <f t="shared" si="48"/>
        <v>0</v>
      </c>
      <c r="O71" s="100">
        <f t="shared" si="48"/>
        <v>0</v>
      </c>
      <c r="P71" s="100">
        <f t="shared" si="48"/>
        <v>0</v>
      </c>
      <c r="Q71" s="100">
        <f t="shared" si="48"/>
        <v>0</v>
      </c>
      <c r="R71" s="100">
        <f>COUNTIF(R28,"*王*")</f>
        <v>0</v>
      </c>
      <c r="S71" s="1"/>
      <c r="T71" s="1"/>
      <c r="U71" s="1"/>
      <c r="V71" s="1"/>
      <c r="W71" s="1"/>
      <c r="X71" s="1"/>
      <c r="Y71" s="1"/>
    </row>
    <row r="72" spans="1:25" ht="15.75" customHeight="1">
      <c r="A72" s="1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1"/>
      <c r="T72" s="1"/>
      <c r="U72" s="1"/>
      <c r="V72" s="1"/>
      <c r="W72" s="1"/>
      <c r="X72" s="1"/>
      <c r="Y72" s="1"/>
    </row>
    <row r="73" spans="1:25" ht="15.75" customHeight="1">
      <c r="A73" s="1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1"/>
      <c r="T73" s="1"/>
      <c r="U73" s="1"/>
      <c r="V73" s="1"/>
      <c r="W73" s="1"/>
      <c r="X73" s="1"/>
      <c r="Y73" s="1"/>
    </row>
    <row r="74" spans="1:25" ht="15.75" customHeight="1">
      <c r="A74" s="1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1"/>
      <c r="T74" s="1"/>
      <c r="U74" s="1"/>
      <c r="V74" s="1"/>
      <c r="W74" s="1"/>
      <c r="X74" s="1"/>
      <c r="Y74" s="1"/>
    </row>
    <row r="75" spans="1:25" ht="15.75" customHeight="1">
      <c r="A75" s="1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1"/>
      <c r="T75" s="1"/>
      <c r="U75" s="1"/>
      <c r="V75" s="1"/>
      <c r="W75" s="1"/>
      <c r="X75" s="1"/>
      <c r="Y75" s="1"/>
    </row>
    <row r="76" spans="1:25" ht="15.75" customHeight="1">
      <c r="A76" s="1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1"/>
      <c r="T76" s="1"/>
      <c r="U76" s="1"/>
      <c r="V76" s="1"/>
      <c r="W76" s="1"/>
      <c r="X76" s="1"/>
      <c r="Y76" s="1"/>
    </row>
    <row r="77" spans="1:25" ht="15.75" customHeight="1">
      <c r="A77" s="1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1"/>
      <c r="T77" s="1"/>
      <c r="U77" s="1"/>
      <c r="V77" s="1"/>
      <c r="W77" s="1"/>
      <c r="X77" s="1"/>
      <c r="Y77" s="1"/>
    </row>
    <row r="78" spans="1:25" ht="15.75" customHeight="1">
      <c r="A78" s="1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1"/>
      <c r="T78" s="1"/>
      <c r="U78" s="1"/>
      <c r="V78" s="1"/>
      <c r="W78" s="1"/>
      <c r="X78" s="1"/>
      <c r="Y78" s="1"/>
    </row>
    <row r="79" spans="1:25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25" ht="15.75" customHeight="1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25" ht="15.75" customHeight="1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25" ht="15.75" customHeight="1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25" ht="15.75" customHeight="1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25" ht="15.75" customHeight="1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25" ht="15.75" customHeight="1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25" ht="15.75" customHeight="1">
      <c r="R270" s="75"/>
    </row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1">
    <mergeCell ref="L43:O43"/>
    <mergeCell ref="L44:O44"/>
    <mergeCell ref="L45:O45"/>
    <mergeCell ref="L46:O46"/>
    <mergeCell ref="A1:Q1"/>
    <mergeCell ref="A2:A14"/>
    <mergeCell ref="A15:A26"/>
    <mergeCell ref="A28:Q28"/>
    <mergeCell ref="A29:B29"/>
    <mergeCell ref="C29:Q29"/>
    <mergeCell ref="L42:O42"/>
  </mergeCells>
  <phoneticPr fontId="17" type="noConversion"/>
  <conditionalFormatting sqref="C49:F78 G50:R78">
    <cfRule type="cellIs" dxfId="0" priority="1" operator="greaterThan">
      <formula>1</formula>
    </cfRule>
  </conditionalFormatting>
  <dataValidations count="1">
    <dataValidation type="list" allowBlank="1" sqref="C15:R15" xr:uid="{00000000-0002-0000-0000-000000000000}">
      <formula1>$F$38:$F$51</formula1>
    </dataValidation>
  </dataValidations>
  <pageMargins left="0.7" right="0.7" top="0.75" bottom="0.75" header="0" footer="0"/>
  <pageSetup paperSize="9" scale="5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publicw7</dc:creator>
  <cp:lastModifiedBy>文茜 陳</cp:lastModifiedBy>
  <dcterms:created xsi:type="dcterms:W3CDTF">2015-06-05T18:19:34Z</dcterms:created>
  <dcterms:modified xsi:type="dcterms:W3CDTF">2026-02-23T12:48:10Z</dcterms:modified>
</cp:coreProperties>
</file>